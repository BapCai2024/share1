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2078DA1-9A52-450B-BCD1-01B6571D7A6E}" xr6:coauthVersionLast="47" xr6:coauthVersionMax="47" xr10:uidLastSave="{00000000-0000-0000-0000-000000000000}"/>
  <bookViews>
    <workbookView xWindow="0" yWindow="0" windowWidth="23040" windowHeight="12240" xr2:uid="{00000000-000D-0000-FFFF-FFFF00000000}"/>
  </bookViews>
  <sheets>
    <sheet name="Tháng 10.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" l="1"/>
  <c r="K15" i="1"/>
  <c r="X7" i="1" l="1"/>
  <c r="X8" i="1"/>
  <c r="X9" i="1"/>
  <c r="X10" i="1"/>
  <c r="X11" i="1"/>
  <c r="X12" i="1"/>
  <c r="X13" i="1"/>
  <c r="X14" i="1"/>
  <c r="X6" i="1"/>
  <c r="W6" i="1"/>
  <c r="O15" i="1" l="1"/>
  <c r="O16" i="1" s="1"/>
  <c r="P15" i="1"/>
  <c r="I15" i="1"/>
  <c r="J16" i="1"/>
  <c r="K16" i="1"/>
  <c r="L15" i="1"/>
  <c r="M15" i="1"/>
  <c r="N15" i="1"/>
  <c r="Q15" i="1"/>
  <c r="Q16" i="1" s="1"/>
  <c r="R15" i="1"/>
  <c r="R16" i="1" s="1"/>
  <c r="S15" i="1"/>
  <c r="S16" i="1" s="1"/>
  <c r="T15" i="1"/>
  <c r="U15" i="1"/>
  <c r="U16" i="1" s="1"/>
  <c r="V15" i="1"/>
  <c r="V16" i="1" s="1"/>
  <c r="W11" i="1"/>
  <c r="W12" i="1"/>
  <c r="W7" i="1"/>
  <c r="W8" i="1"/>
  <c r="W9" i="1"/>
  <c r="W10" i="1"/>
  <c r="W13" i="1"/>
  <c r="W14" i="1"/>
  <c r="H15" i="1"/>
  <c r="E15" i="1"/>
  <c r="G26" i="1" l="1"/>
  <c r="I16" i="1"/>
  <c r="H26" i="1"/>
  <c r="M16" i="1"/>
  <c r="I26" i="1"/>
  <c r="P16" i="1"/>
  <c r="L16" i="1"/>
  <c r="H16" i="1"/>
  <c r="N17" i="1"/>
  <c r="N16" i="1"/>
  <c r="Q17" i="1"/>
  <c r="K17" i="1"/>
  <c r="H17" i="1"/>
  <c r="T17" i="1"/>
  <c r="T16" i="1"/>
  <c r="W15" i="1"/>
  <c r="X15" i="1"/>
  <c r="H27" i="1" l="1"/>
  <c r="W17" i="1"/>
  <c r="I27" i="1"/>
  <c r="G27" i="1"/>
  <c r="F15" i="1"/>
  <c r="G15" i="1"/>
  <c r="W16" i="1"/>
</calcChain>
</file>

<file path=xl/sharedStrings.xml><?xml version="1.0" encoding="utf-8"?>
<sst xmlns="http://schemas.openxmlformats.org/spreadsheetml/2006/main" count="58" uniqueCount="37">
  <si>
    <t>TT</t>
  </si>
  <si>
    <t>Nội dung/đơn vị kiến thức</t>
  </si>
  <si>
    <t>Số tiết</t>
  </si>
  <si>
    <t>Tỉ lệ</t>
  </si>
  <si>
    <t>Số điểm cần đạt</t>
  </si>
  <si>
    <t>Mức độ đánh giá</t>
  </si>
  <si>
    <t>Tổng số câu/ý</t>
  </si>
  <si>
    <t>Điểm từng bài</t>
  </si>
  <si>
    <t>Nhiều lựa chọn</t>
  </si>
  <si>
    <t>Đúng-Sai</t>
  </si>
  <si>
    <t>Tự luận</t>
  </si>
  <si>
    <t>Biết</t>
  </si>
  <si>
    <t>Hiểu</t>
  </si>
  <si>
    <t>VD</t>
  </si>
  <si>
    <t>Tổng số câu</t>
  </si>
  <si>
    <t>Điểm từng mức độ</t>
  </si>
  <si>
    <t>Số câu/ý</t>
  </si>
  <si>
    <t>Điểm từng phần</t>
  </si>
  <si>
    <t>Nối cột</t>
  </si>
  <si>
    <t>Điền khuyết</t>
  </si>
  <si>
    <t>Điểm 1 câu nhiều lựa chọn</t>
  </si>
  <si>
    <t>Điểm 1 câu đúng sai</t>
  </si>
  <si>
    <t>Điểm 1 câu nối cột</t>
  </si>
  <si>
    <t>Điểm 1 câu điền khuyết</t>
  </si>
  <si>
    <t>Điểm 1 câu tự luận</t>
  </si>
  <si>
    <t>Trắc nghiệm</t>
  </si>
  <si>
    <t>3 câu  - 6 điểm</t>
  </si>
  <si>
    <t>Yêu cầu cần đạt</t>
  </si>
  <si>
    <t xml:space="preserve">Chương/ Chủ đề </t>
  </si>
  <si>
    <t>4 câu - 1 điểm</t>
  </si>
  <si>
    <t>…..</t>
  </si>
  <si>
    <t>…......................</t>
  </si>
  <si>
    <t>…...................</t>
  </si>
  <si>
    <t>…...............</t>
  </si>
  <si>
    <t>….</t>
  </si>
  <si>
    <t>…</t>
  </si>
  <si>
    <t>…...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</si>
</sst>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scheme val="minor"/>
    </font>
    <font>
      <sz val="8"/>
      <name val="Aptos Narrow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b/>
      <sz val="11"/>
      <name val="Times New Roman"/>
      <family val="1"/>
    </font>
    <font>
      <sz val="11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theme="1"/>
      </left>
      <right style="thin">
        <color rgb="FF000000"/>
      </right>
      <top/>
      <bottom style="thin">
        <color rgb="FF000000"/>
      </bottom>
      <diagonal/>
    </border>
    <border>
      <left style="thin">
        <color rgb="FFFF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3" fillId="0" borderId="0" xfId="0" applyFont="1"/>
    <xf numFmtId="0" fontId="3" fillId="4" borderId="0" xfId="0" applyFont="1" applyFill="1"/>
    <xf numFmtId="0" fontId="2" fillId="4" borderId="0" xfId="0" applyFont="1" applyFill="1" applyAlignment="1">
      <alignment horizontal="center"/>
    </xf>
    <xf numFmtId="0" fontId="6" fillId="0" borderId="0" xfId="0" applyFont="1"/>
    <xf numFmtId="0" fontId="8" fillId="4" borderId="17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vertical="center" wrapText="1"/>
    </xf>
    <xf numFmtId="0" fontId="6" fillId="0" borderId="10" xfId="0" applyFont="1" applyBorder="1" applyAlignment="1">
      <alignment horizontal="center" vertical="center" wrapText="1"/>
    </xf>
    <xf numFmtId="1" fontId="6" fillId="2" borderId="7" xfId="0" applyNumberFormat="1" applyFont="1" applyFill="1" applyBorder="1" applyAlignment="1">
      <alignment horizontal="center" vertical="center" wrapText="1"/>
    </xf>
    <xf numFmtId="2" fontId="6" fillId="2" borderId="8" xfId="0" applyNumberFormat="1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1" fontId="5" fillId="4" borderId="5" xfId="0" applyNumberFormat="1" applyFont="1" applyFill="1" applyBorder="1" applyAlignment="1">
      <alignment horizontal="center" vertical="center" wrapText="1"/>
    </xf>
    <xf numFmtId="2" fontId="8" fillId="4" borderId="5" xfId="0" applyNumberFormat="1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6" fillId="4" borderId="0" xfId="0" applyFont="1" applyFill="1"/>
    <xf numFmtId="0" fontId="6" fillId="3" borderId="0" xfId="0" applyFont="1" applyFill="1"/>
    <xf numFmtId="0" fontId="6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/>
    </xf>
    <xf numFmtId="0" fontId="6" fillId="0" borderId="0" xfId="0" applyFont="1" applyAlignment="1">
      <alignment vertical="center"/>
    </xf>
    <xf numFmtId="0" fontId="12" fillId="4" borderId="5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/>
    <xf numFmtId="0" fontId="7" fillId="4" borderId="4" xfId="0" applyFont="1" applyFill="1" applyBorder="1"/>
    <xf numFmtId="0" fontId="5" fillId="4" borderId="12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/>
    </xf>
    <xf numFmtId="0" fontId="11" fillId="4" borderId="11" xfId="0" applyFont="1" applyFill="1" applyBorder="1" applyAlignment="1">
      <alignment horizontal="center"/>
    </xf>
    <xf numFmtId="0" fontId="11" fillId="4" borderId="10" xfId="0" applyFont="1" applyFill="1" applyBorder="1" applyAlignment="1">
      <alignment horizontal="center"/>
    </xf>
    <xf numFmtId="0" fontId="8" fillId="4" borderId="8" xfId="0" applyFont="1" applyFill="1" applyBorder="1" applyAlignment="1">
      <alignment horizontal="center" vertical="center" wrapText="1"/>
    </xf>
    <xf numFmtId="0" fontId="11" fillId="4" borderId="11" xfId="0" applyFont="1" applyFill="1" applyBorder="1"/>
    <xf numFmtId="0" fontId="11" fillId="4" borderId="9" xfId="0" applyFont="1" applyFill="1" applyBorder="1"/>
    <xf numFmtId="0" fontId="5" fillId="4" borderId="8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7" fillId="4" borderId="12" xfId="0" applyFont="1" applyFill="1" applyBorder="1"/>
    <xf numFmtId="0" fontId="5" fillId="3" borderId="8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7" fillId="3" borderId="11" xfId="0" applyFont="1" applyFill="1" applyBorder="1"/>
    <xf numFmtId="0" fontId="7" fillId="3" borderId="9" xfId="0" applyFont="1" applyFill="1" applyBorder="1"/>
    <xf numFmtId="0" fontId="12" fillId="3" borderId="8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 wrapText="1"/>
    </xf>
    <xf numFmtId="0" fontId="7" fillId="4" borderId="15" xfId="0" applyFont="1" applyFill="1" applyBorder="1"/>
    <xf numFmtId="0" fontId="5" fillId="0" borderId="20" xfId="0" applyFont="1" applyBorder="1" applyAlignment="1">
      <alignment horizontal="center" vertical="center" wrapText="1"/>
    </xf>
    <xf numFmtId="0" fontId="7" fillId="0" borderId="1" xfId="0" applyFont="1" applyBorder="1"/>
    <xf numFmtId="0" fontId="7" fillId="0" borderId="19" xfId="0" applyFont="1" applyBorder="1"/>
    <xf numFmtId="0" fontId="5" fillId="0" borderId="8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9" xfId="0" applyFont="1" applyBorder="1"/>
    <xf numFmtId="0" fontId="5" fillId="0" borderId="12" xfId="0" applyFont="1" applyBorder="1" applyAlignment="1">
      <alignment horizontal="center" vertical="center" wrapText="1"/>
    </xf>
    <xf numFmtId="0" fontId="7" fillId="0" borderId="12" xfId="0" applyFont="1" applyBorder="1"/>
    <xf numFmtId="0" fontId="6" fillId="2" borderId="2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7" fillId="0" borderId="16" xfId="0" applyFont="1" applyBorder="1"/>
    <xf numFmtId="0" fontId="5" fillId="4" borderId="13" xfId="0" applyFont="1" applyFill="1" applyBorder="1" applyAlignment="1">
      <alignment horizontal="center" vertical="center" wrapText="1"/>
    </xf>
    <xf numFmtId="0" fontId="7" fillId="4" borderId="16" xfId="0" applyFont="1" applyFill="1" applyBorder="1"/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2"/>
  <sheetViews>
    <sheetView tabSelected="1" zoomScale="90" zoomScaleNormal="90" workbookViewId="0">
      <selection activeCell="F7" sqref="F7"/>
    </sheetView>
  </sheetViews>
  <sheetFormatPr defaultColWidth="12.5546875" defaultRowHeight="15" customHeight="1" x14ac:dyDescent="0.3"/>
  <cols>
    <col min="1" max="1" width="5" style="1" customWidth="1"/>
    <col min="2" max="2" width="8.77734375" style="1" customWidth="1"/>
    <col min="3" max="3" width="16.44140625" style="1" customWidth="1"/>
    <col min="4" max="4" width="22.77734375" style="1" customWidth="1"/>
    <col min="5" max="5" width="5.77734375" style="1" customWidth="1"/>
    <col min="6" max="6" width="5.77734375" style="2" customWidth="1"/>
    <col min="7" max="7" width="7.33203125" style="2" customWidth="1"/>
    <col min="8" max="24" width="5.109375" style="2" customWidth="1"/>
    <col min="25" max="28" width="8.6640625" style="1" customWidth="1"/>
    <col min="29" max="16384" width="12.5546875" style="1"/>
  </cols>
  <sheetData>
    <row r="1" spans="1:24" ht="26.25" customHeight="1" x14ac:dyDescent="0.3">
      <c r="D1" s="73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3"/>
    </row>
    <row r="2" spans="1:24" ht="19.95" customHeight="1" x14ac:dyDescent="0.3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</row>
    <row r="3" spans="1:24" s="4" customFormat="1" ht="15.6" customHeight="1" x14ac:dyDescent="0.25">
      <c r="A3" s="75" t="s">
        <v>0</v>
      </c>
      <c r="B3" s="65" t="s">
        <v>28</v>
      </c>
      <c r="C3" s="65" t="s">
        <v>1</v>
      </c>
      <c r="D3" s="65" t="s">
        <v>27</v>
      </c>
      <c r="E3" s="76" t="s">
        <v>2</v>
      </c>
      <c r="F3" s="47" t="s">
        <v>3</v>
      </c>
      <c r="G3" s="57" t="s">
        <v>4</v>
      </c>
      <c r="H3" s="39" t="s">
        <v>25</v>
      </c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 t="s">
        <v>10</v>
      </c>
      <c r="U3" s="39"/>
      <c r="V3" s="39"/>
      <c r="W3" s="78" t="s">
        <v>6</v>
      </c>
      <c r="X3" s="47" t="s">
        <v>7</v>
      </c>
    </row>
    <row r="4" spans="1:24" s="4" customFormat="1" ht="19.5" customHeight="1" x14ac:dyDescent="0.25">
      <c r="A4" s="66"/>
      <c r="B4" s="66"/>
      <c r="C4" s="66"/>
      <c r="D4" s="66"/>
      <c r="E4" s="77"/>
      <c r="F4" s="37"/>
      <c r="G4" s="58"/>
      <c r="H4" s="48" t="s">
        <v>8</v>
      </c>
      <c r="I4" s="49"/>
      <c r="J4" s="49"/>
      <c r="K4" s="39" t="s">
        <v>9</v>
      </c>
      <c r="L4" s="49"/>
      <c r="M4" s="49"/>
      <c r="N4" s="39" t="s">
        <v>18</v>
      </c>
      <c r="O4" s="39"/>
      <c r="P4" s="39"/>
      <c r="Q4" s="39" t="s">
        <v>19</v>
      </c>
      <c r="R4" s="49"/>
      <c r="S4" s="49"/>
      <c r="T4" s="39"/>
      <c r="U4" s="39"/>
      <c r="V4" s="39"/>
      <c r="W4" s="79"/>
      <c r="X4" s="37"/>
    </row>
    <row r="5" spans="1:24" s="4" customFormat="1" ht="33.6" customHeight="1" x14ac:dyDescent="0.25">
      <c r="A5" s="66"/>
      <c r="B5" s="66"/>
      <c r="C5" s="66"/>
      <c r="D5" s="66"/>
      <c r="E5" s="77"/>
      <c r="F5" s="38"/>
      <c r="G5" s="37"/>
      <c r="H5" s="5" t="s">
        <v>11</v>
      </c>
      <c r="I5" s="6" t="s">
        <v>12</v>
      </c>
      <c r="J5" s="6" t="s">
        <v>13</v>
      </c>
      <c r="K5" s="7" t="s">
        <v>11</v>
      </c>
      <c r="L5" s="8" t="s">
        <v>12</v>
      </c>
      <c r="M5" s="8" t="s">
        <v>13</v>
      </c>
      <c r="N5" s="9" t="s">
        <v>11</v>
      </c>
      <c r="O5" s="6" t="s">
        <v>12</v>
      </c>
      <c r="P5" s="6" t="s">
        <v>13</v>
      </c>
      <c r="Q5" s="9" t="s">
        <v>11</v>
      </c>
      <c r="R5" s="6" t="s">
        <v>12</v>
      </c>
      <c r="S5" s="6" t="s">
        <v>13</v>
      </c>
      <c r="T5" s="9" t="s">
        <v>11</v>
      </c>
      <c r="U5" s="6" t="s">
        <v>12</v>
      </c>
      <c r="V5" s="6" t="s">
        <v>13</v>
      </c>
      <c r="W5" s="38"/>
      <c r="X5" s="38"/>
    </row>
    <row r="6" spans="1:24" s="33" customFormat="1" ht="27" customHeight="1" x14ac:dyDescent="0.3">
      <c r="A6" s="10">
        <v>1</v>
      </c>
      <c r="B6" s="70" t="s">
        <v>30</v>
      </c>
      <c r="C6" s="11" t="s">
        <v>30</v>
      </c>
      <c r="D6" s="11" t="s">
        <v>31</v>
      </c>
      <c r="E6" s="12"/>
      <c r="F6" s="13"/>
      <c r="G6" s="14"/>
      <c r="H6" s="15"/>
      <c r="I6" s="34"/>
      <c r="J6" s="16"/>
      <c r="K6" s="17"/>
      <c r="L6" s="16"/>
      <c r="M6" s="16"/>
      <c r="N6" s="18"/>
      <c r="O6" s="18"/>
      <c r="P6" s="19"/>
      <c r="Q6" s="17"/>
      <c r="R6" s="16"/>
      <c r="S6" s="16"/>
      <c r="T6" s="17"/>
      <c r="U6" s="16"/>
      <c r="V6" s="16"/>
      <c r="W6" s="20">
        <f>SUM(H6:V6)</f>
        <v>0</v>
      </c>
      <c r="X6" s="21">
        <f t="shared" ref="X6:X14" si="0">SUM(H6:J6)*$E$19+SUM(K6:M6)*$E$20+SUM(N6:P6)*$E$21+SUM(Q6:S6)*$E$22+SUM(T6:V6)*$E$23</f>
        <v>0</v>
      </c>
    </row>
    <row r="7" spans="1:24" s="33" customFormat="1" ht="27" customHeight="1" x14ac:dyDescent="0.3">
      <c r="A7" s="10">
        <v>6</v>
      </c>
      <c r="B7" s="71"/>
      <c r="C7" s="11" t="s">
        <v>34</v>
      </c>
      <c r="D7" s="11" t="s">
        <v>35</v>
      </c>
      <c r="E7" s="12"/>
      <c r="F7" s="13"/>
      <c r="G7" s="14"/>
      <c r="H7" s="15"/>
      <c r="I7" s="16"/>
      <c r="J7" s="34"/>
      <c r="K7" s="17"/>
      <c r="L7" s="16"/>
      <c r="M7" s="16"/>
      <c r="N7" s="19"/>
      <c r="O7" s="19"/>
      <c r="P7" s="19"/>
      <c r="Q7" s="17"/>
      <c r="R7" s="16"/>
      <c r="S7" s="16"/>
      <c r="T7" s="17"/>
      <c r="U7" s="16"/>
      <c r="V7" s="16"/>
      <c r="W7" s="20">
        <f t="shared" ref="W7:W14" si="1">SUM(H7:V7)</f>
        <v>0</v>
      </c>
      <c r="X7" s="21">
        <f t="shared" si="0"/>
        <v>0</v>
      </c>
    </row>
    <row r="8" spans="1:24" s="33" customFormat="1" ht="27" customHeight="1" x14ac:dyDescent="0.3">
      <c r="A8" s="10">
        <v>7</v>
      </c>
      <c r="B8" s="71"/>
      <c r="C8" s="11"/>
      <c r="D8" s="11"/>
      <c r="E8" s="12"/>
      <c r="F8" s="13"/>
      <c r="G8" s="14"/>
      <c r="H8" s="15"/>
      <c r="I8" s="16"/>
      <c r="J8" s="16"/>
      <c r="K8" s="17"/>
      <c r="L8" s="34"/>
      <c r="M8" s="16"/>
      <c r="N8" s="19"/>
      <c r="O8" s="19"/>
      <c r="P8" s="19"/>
      <c r="Q8" s="17"/>
      <c r="R8" s="16"/>
      <c r="S8" s="16"/>
      <c r="T8" s="17"/>
      <c r="U8" s="16"/>
      <c r="V8" s="16"/>
      <c r="W8" s="20">
        <f t="shared" si="1"/>
        <v>0</v>
      </c>
      <c r="X8" s="21">
        <f t="shared" si="0"/>
        <v>0</v>
      </c>
    </row>
    <row r="9" spans="1:24" s="33" customFormat="1" ht="27" customHeight="1" x14ac:dyDescent="0.3">
      <c r="A9" s="10">
        <v>8</v>
      </c>
      <c r="B9" s="71"/>
      <c r="C9" s="11"/>
      <c r="D9" s="11"/>
      <c r="E9" s="12"/>
      <c r="F9" s="13"/>
      <c r="G9" s="14"/>
      <c r="H9" s="15"/>
      <c r="I9" s="16"/>
      <c r="J9" s="16"/>
      <c r="K9" s="17"/>
      <c r="L9" s="16"/>
      <c r="M9" s="16"/>
      <c r="N9" s="19"/>
      <c r="O9" s="19"/>
      <c r="P9" s="19"/>
      <c r="Q9" s="17"/>
      <c r="R9" s="16"/>
      <c r="S9" s="16"/>
      <c r="T9" s="17"/>
      <c r="U9" s="16"/>
      <c r="V9" s="16"/>
      <c r="W9" s="20">
        <f t="shared" si="1"/>
        <v>0</v>
      </c>
      <c r="X9" s="21">
        <f t="shared" si="0"/>
        <v>0</v>
      </c>
    </row>
    <row r="10" spans="1:24" s="33" customFormat="1" ht="33.450000000000003" customHeight="1" x14ac:dyDescent="0.3">
      <c r="A10" s="10">
        <v>11</v>
      </c>
      <c r="B10" s="71"/>
      <c r="C10" s="11"/>
      <c r="D10" s="11"/>
      <c r="E10" s="12"/>
      <c r="F10" s="13"/>
      <c r="G10" s="14"/>
      <c r="H10" s="15"/>
      <c r="I10" s="16"/>
      <c r="J10" s="16"/>
      <c r="K10" s="35"/>
      <c r="L10" s="16"/>
      <c r="M10" s="16"/>
      <c r="N10" s="19"/>
      <c r="O10" s="19"/>
      <c r="P10" s="19"/>
      <c r="Q10" s="17"/>
      <c r="R10" s="16"/>
      <c r="S10" s="16"/>
      <c r="T10" s="17"/>
      <c r="U10" s="16"/>
      <c r="V10" s="16"/>
      <c r="W10" s="20">
        <f t="shared" si="1"/>
        <v>0</v>
      </c>
      <c r="X10" s="21">
        <f t="shared" si="0"/>
        <v>0</v>
      </c>
    </row>
    <row r="11" spans="1:24" s="33" customFormat="1" ht="36" customHeight="1" x14ac:dyDescent="0.3">
      <c r="A11" s="10">
        <v>12</v>
      </c>
      <c r="B11" s="72"/>
      <c r="C11" s="11"/>
      <c r="D11" s="11"/>
      <c r="E11" s="12"/>
      <c r="F11" s="13"/>
      <c r="G11" s="14"/>
      <c r="H11" s="15"/>
      <c r="I11" s="16"/>
      <c r="J11" s="16"/>
      <c r="K11" s="17"/>
      <c r="L11" s="16"/>
      <c r="M11" s="16"/>
      <c r="N11" s="19"/>
      <c r="O11" s="19"/>
      <c r="P11" s="19"/>
      <c r="Q11" s="17"/>
      <c r="R11" s="16"/>
      <c r="S11" s="16"/>
      <c r="T11" s="17"/>
      <c r="U11" s="16"/>
      <c r="V11" s="16"/>
      <c r="W11" s="20">
        <f t="shared" ref="W11:W12" si="2">SUM(H11:V11)</f>
        <v>0</v>
      </c>
      <c r="X11" s="21">
        <f t="shared" si="0"/>
        <v>0</v>
      </c>
    </row>
    <row r="12" spans="1:24" s="4" customFormat="1" ht="28.05" customHeight="1" x14ac:dyDescent="0.25">
      <c r="A12" s="10">
        <v>13</v>
      </c>
      <c r="B12" s="67" t="s">
        <v>32</v>
      </c>
      <c r="C12" s="11" t="s">
        <v>33</v>
      </c>
      <c r="D12" s="11" t="s">
        <v>36</v>
      </c>
      <c r="E12" s="12"/>
      <c r="F12" s="13"/>
      <c r="G12" s="14"/>
      <c r="H12" s="15"/>
      <c r="I12" s="34"/>
      <c r="J12" s="16"/>
      <c r="K12" s="35"/>
      <c r="L12" s="16"/>
      <c r="M12" s="16"/>
      <c r="N12" s="19"/>
      <c r="O12" s="19"/>
      <c r="P12" s="19"/>
      <c r="Q12" s="17"/>
      <c r="R12" s="16"/>
      <c r="S12" s="16"/>
      <c r="T12" s="17"/>
      <c r="U12" s="16"/>
      <c r="V12" s="16"/>
      <c r="W12" s="20">
        <f t="shared" si="2"/>
        <v>0</v>
      </c>
      <c r="X12" s="21">
        <f t="shared" si="0"/>
        <v>0</v>
      </c>
    </row>
    <row r="13" spans="1:24" s="4" customFormat="1" ht="28.05" customHeight="1" x14ac:dyDescent="0.25">
      <c r="A13" s="10">
        <v>14</v>
      </c>
      <c r="B13" s="68"/>
      <c r="C13" s="11" t="s">
        <v>30</v>
      </c>
      <c r="D13" s="11"/>
      <c r="E13" s="12"/>
      <c r="F13" s="13"/>
      <c r="G13" s="14"/>
      <c r="H13" s="15"/>
      <c r="I13" s="16"/>
      <c r="J13" s="15"/>
      <c r="K13" s="35"/>
      <c r="L13" s="16"/>
      <c r="M13" s="16"/>
      <c r="N13" s="18"/>
      <c r="O13" s="18"/>
      <c r="P13" s="19"/>
      <c r="Q13" s="17"/>
      <c r="R13" s="16"/>
      <c r="S13" s="16"/>
      <c r="T13" s="17"/>
      <c r="U13" s="16"/>
      <c r="V13" s="16"/>
      <c r="W13" s="20">
        <f t="shared" si="1"/>
        <v>0</v>
      </c>
      <c r="X13" s="21">
        <f t="shared" si="0"/>
        <v>0</v>
      </c>
    </row>
    <row r="14" spans="1:24" s="4" customFormat="1" ht="43.5" customHeight="1" x14ac:dyDescent="0.25">
      <c r="A14" s="10">
        <v>15</v>
      </c>
      <c r="B14" s="69"/>
      <c r="C14" s="11"/>
      <c r="D14" s="11"/>
      <c r="E14" s="12"/>
      <c r="F14" s="13"/>
      <c r="G14" s="14"/>
      <c r="H14" s="15"/>
      <c r="I14" s="34"/>
      <c r="J14" s="16"/>
      <c r="K14" s="17"/>
      <c r="L14" s="16"/>
      <c r="M14" s="16"/>
      <c r="N14" s="18"/>
      <c r="O14" s="18"/>
      <c r="P14" s="19"/>
      <c r="Q14" s="17"/>
      <c r="R14" s="16"/>
      <c r="S14" s="16"/>
      <c r="T14" s="17"/>
      <c r="U14" s="16"/>
      <c r="V14" s="16"/>
      <c r="W14" s="20">
        <f t="shared" si="1"/>
        <v>0</v>
      </c>
      <c r="X14" s="21">
        <f t="shared" si="0"/>
        <v>0</v>
      </c>
    </row>
    <row r="15" spans="1:24" s="4" customFormat="1" ht="19.95" customHeight="1" x14ac:dyDescent="0.25">
      <c r="A15" s="59" t="s">
        <v>14</v>
      </c>
      <c r="B15" s="60"/>
      <c r="C15" s="60"/>
      <c r="D15" s="61"/>
      <c r="E15" s="22">
        <f t="shared" ref="E15:K15" si="3">SUM(E6:E14)</f>
        <v>0</v>
      </c>
      <c r="F15" s="23">
        <f t="shared" si="3"/>
        <v>0</v>
      </c>
      <c r="G15" s="24">
        <f t="shared" si="3"/>
        <v>0</v>
      </c>
      <c r="H15" s="25">
        <f t="shared" si="3"/>
        <v>0</v>
      </c>
      <c r="I15" s="25">
        <f t="shared" si="3"/>
        <v>0</v>
      </c>
      <c r="J15" s="25">
        <f t="shared" si="3"/>
        <v>0</v>
      </c>
      <c r="K15" s="25">
        <f t="shared" si="3"/>
        <v>0</v>
      </c>
      <c r="L15" s="25">
        <f t="shared" ref="L15:X15" si="4">SUM(L6:L14)</f>
        <v>0</v>
      </c>
      <c r="M15" s="25">
        <f t="shared" si="4"/>
        <v>0</v>
      </c>
      <c r="N15" s="25">
        <f t="shared" si="4"/>
        <v>0</v>
      </c>
      <c r="O15" s="25">
        <f t="shared" si="4"/>
        <v>0</v>
      </c>
      <c r="P15" s="25">
        <f t="shared" si="4"/>
        <v>0</v>
      </c>
      <c r="Q15" s="25">
        <f t="shared" si="4"/>
        <v>0</v>
      </c>
      <c r="R15" s="25">
        <f t="shared" si="4"/>
        <v>0</v>
      </c>
      <c r="S15" s="25">
        <f t="shared" si="4"/>
        <v>0</v>
      </c>
      <c r="T15" s="25">
        <f t="shared" si="4"/>
        <v>0</v>
      </c>
      <c r="U15" s="25">
        <f t="shared" si="4"/>
        <v>0</v>
      </c>
      <c r="V15" s="25">
        <f t="shared" si="4"/>
        <v>0</v>
      </c>
      <c r="W15" s="26">
        <f t="shared" si="4"/>
        <v>0</v>
      </c>
      <c r="X15" s="36">
        <f t="shared" si="4"/>
        <v>0</v>
      </c>
    </row>
    <row r="16" spans="1:24" s="4" customFormat="1" ht="19.95" customHeight="1" x14ac:dyDescent="0.25">
      <c r="A16" s="62" t="s">
        <v>15</v>
      </c>
      <c r="B16" s="63"/>
      <c r="C16" s="63"/>
      <c r="D16" s="63"/>
      <c r="E16" s="63"/>
      <c r="F16" s="63"/>
      <c r="G16" s="64"/>
      <c r="H16" s="25">
        <f>H15*$E$19</f>
        <v>0</v>
      </c>
      <c r="I16" s="25">
        <f t="shared" ref="I16:J16" si="5">I15*$E$19</f>
        <v>0</v>
      </c>
      <c r="J16" s="25">
        <f t="shared" si="5"/>
        <v>0</v>
      </c>
      <c r="K16" s="25">
        <f>K15*$E$20</f>
        <v>0</v>
      </c>
      <c r="L16" s="25">
        <f t="shared" ref="L16:M16" si="6">L15*$E$20</f>
        <v>0</v>
      </c>
      <c r="M16" s="25">
        <f t="shared" si="6"/>
        <v>0</v>
      </c>
      <c r="N16" s="25">
        <f>N15*$E$21</f>
        <v>0</v>
      </c>
      <c r="O16" s="25">
        <f t="shared" ref="O16:P16" si="7">O15*$E$21</f>
        <v>0</v>
      </c>
      <c r="P16" s="25">
        <f t="shared" si="7"/>
        <v>0</v>
      </c>
      <c r="Q16" s="25">
        <f>Q15*$E$22</f>
        <v>0</v>
      </c>
      <c r="R16" s="25">
        <f t="shared" ref="R16:S16" si="8">R15*$E$22</f>
        <v>0</v>
      </c>
      <c r="S16" s="25">
        <f t="shared" si="8"/>
        <v>0</v>
      </c>
      <c r="T16" s="25">
        <f>T15*$E$23</f>
        <v>0</v>
      </c>
      <c r="U16" s="25">
        <f t="shared" ref="U16:V16" si="9">U15*$E$23</f>
        <v>0</v>
      </c>
      <c r="V16" s="25">
        <f t="shared" si="9"/>
        <v>0</v>
      </c>
      <c r="W16" s="26">
        <f>SUM(H16:V16)</f>
        <v>0</v>
      </c>
      <c r="X16" s="37"/>
    </row>
    <row r="17" spans="1:24" s="4" customFormat="1" ht="19.95" customHeight="1" x14ac:dyDescent="0.25">
      <c r="A17" s="62" t="s">
        <v>3</v>
      </c>
      <c r="B17" s="63"/>
      <c r="C17" s="63"/>
      <c r="D17" s="63"/>
      <c r="E17" s="63"/>
      <c r="F17" s="63"/>
      <c r="G17" s="64"/>
      <c r="H17" s="43">
        <f>(H15+I15+J15)*$E$19*10</f>
        <v>0</v>
      </c>
      <c r="I17" s="44"/>
      <c r="J17" s="45"/>
      <c r="K17" s="46">
        <f>(K15+L15+M15)*$E$20*10</f>
        <v>0</v>
      </c>
      <c r="L17" s="44"/>
      <c r="M17" s="45"/>
      <c r="N17" s="40">
        <f>(N15+O15+P15)*$E$21*10</f>
        <v>0</v>
      </c>
      <c r="O17" s="41"/>
      <c r="P17" s="42"/>
      <c r="Q17" s="46">
        <f>(Q15+R15+S15)*$E$22*10</f>
        <v>0</v>
      </c>
      <c r="R17" s="44"/>
      <c r="S17" s="45"/>
      <c r="T17" s="46">
        <f>(T15+U15+V15)*$E$23*10</f>
        <v>0</v>
      </c>
      <c r="U17" s="44"/>
      <c r="V17" s="45"/>
      <c r="W17" s="26">
        <f>SUM(H17+K17+N17+Q17+T17)</f>
        <v>0</v>
      </c>
      <c r="X17" s="38"/>
    </row>
    <row r="18" spans="1:24" s="4" customFormat="1" ht="19.95" customHeight="1" x14ac:dyDescent="0.25"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</row>
    <row r="19" spans="1:24" s="4" customFormat="1" ht="15.75" customHeight="1" x14ac:dyDescent="0.25">
      <c r="D19" s="28" t="s">
        <v>20</v>
      </c>
      <c r="E19" s="28">
        <v>0.25</v>
      </c>
      <c r="F19" s="27"/>
      <c r="G19" s="4" t="s">
        <v>29</v>
      </c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</row>
    <row r="20" spans="1:24" s="4" customFormat="1" ht="15.75" customHeight="1" x14ac:dyDescent="0.25">
      <c r="D20" s="28" t="s">
        <v>21</v>
      </c>
      <c r="E20" s="28">
        <v>0.25</v>
      </c>
      <c r="F20" s="27"/>
      <c r="G20" s="4" t="s">
        <v>29</v>
      </c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</row>
    <row r="21" spans="1:24" s="4" customFormat="1" ht="15.75" customHeight="1" x14ac:dyDescent="0.25">
      <c r="D21" s="28" t="s">
        <v>22</v>
      </c>
      <c r="E21" s="28">
        <v>0.25</v>
      </c>
      <c r="F21" s="27"/>
      <c r="G21" s="4" t="s">
        <v>29</v>
      </c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</row>
    <row r="22" spans="1:24" s="4" customFormat="1" ht="15.75" customHeight="1" x14ac:dyDescent="0.25">
      <c r="D22" s="28" t="s">
        <v>23</v>
      </c>
      <c r="E22" s="28">
        <v>0.25</v>
      </c>
      <c r="F22" s="27"/>
      <c r="G22" s="4" t="s">
        <v>29</v>
      </c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s="4" customFormat="1" ht="15.75" customHeight="1" x14ac:dyDescent="0.25">
      <c r="D23" s="28" t="s">
        <v>24</v>
      </c>
      <c r="E23" s="28">
        <v>2</v>
      </c>
      <c r="F23" s="27"/>
      <c r="G23" s="4" t="s">
        <v>26</v>
      </c>
      <c r="S23" s="27"/>
      <c r="T23" s="27"/>
      <c r="U23" s="27"/>
      <c r="V23" s="27"/>
      <c r="W23" s="27"/>
      <c r="X23" s="27"/>
    </row>
    <row r="24" spans="1:24" s="4" customFormat="1" ht="15.75" customHeight="1" x14ac:dyDescent="0.25"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</row>
    <row r="25" spans="1:24" s="4" customFormat="1" ht="39" customHeight="1" x14ac:dyDescent="0.25">
      <c r="D25" s="50" t="s">
        <v>5</v>
      </c>
      <c r="E25" s="51"/>
      <c r="F25" s="52"/>
      <c r="G25" s="26" t="s">
        <v>11</v>
      </c>
      <c r="H25" s="26" t="s">
        <v>12</v>
      </c>
      <c r="I25" s="26" t="s">
        <v>13</v>
      </c>
      <c r="J25" s="29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</row>
    <row r="26" spans="1:24" s="4" customFormat="1" ht="21.75" customHeight="1" x14ac:dyDescent="0.25">
      <c r="D26" s="53" t="s">
        <v>16</v>
      </c>
      <c r="E26" s="54"/>
      <c r="F26" s="55"/>
      <c r="G26" s="26">
        <f>H15+K15+N15+Q15+T15</f>
        <v>0</v>
      </c>
      <c r="H26" s="26">
        <f>I15+L15+O15+R15+U15</f>
        <v>0</v>
      </c>
      <c r="I26" s="26">
        <f>J15+M15+P15+S15+V15</f>
        <v>0</v>
      </c>
      <c r="J26" s="30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s="4" customFormat="1" ht="21.75" customHeight="1" x14ac:dyDescent="0.25">
      <c r="D27" s="56" t="s">
        <v>17</v>
      </c>
      <c r="E27" s="54"/>
      <c r="F27" s="55"/>
      <c r="G27" s="31">
        <f t="shared" ref="G27:I27" si="10">H16+K16+Q16+T16+N16</f>
        <v>0</v>
      </c>
      <c r="H27" s="31">
        <f t="shared" si="10"/>
        <v>0</v>
      </c>
      <c r="I27" s="31">
        <f t="shared" si="10"/>
        <v>0</v>
      </c>
      <c r="J27" s="32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</row>
    <row r="28" spans="1:24" ht="15.75" customHeight="1" x14ac:dyDescent="0.3"/>
    <row r="29" spans="1:24" ht="15.75" customHeight="1" x14ac:dyDescent="0.3"/>
    <row r="30" spans="1:24" ht="15.75" customHeight="1" x14ac:dyDescent="0.3"/>
    <row r="31" spans="1:24" ht="15.75" customHeight="1" x14ac:dyDescent="0.3"/>
    <row r="32" spans="1:2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</sheetData>
  <mergeCells count="31">
    <mergeCell ref="D1:W1"/>
    <mergeCell ref="A3:A5"/>
    <mergeCell ref="B3:B5"/>
    <mergeCell ref="D3:D5"/>
    <mergeCell ref="E3:E5"/>
    <mergeCell ref="W3:W5"/>
    <mergeCell ref="A2:X2"/>
    <mergeCell ref="D25:F25"/>
    <mergeCell ref="D26:F26"/>
    <mergeCell ref="D27:F27"/>
    <mergeCell ref="F3:F5"/>
    <mergeCell ref="G3:G5"/>
    <mergeCell ref="A15:D15"/>
    <mergeCell ref="A16:G16"/>
    <mergeCell ref="A17:G17"/>
    <mergeCell ref="C3:C5"/>
    <mergeCell ref="B12:B14"/>
    <mergeCell ref="B6:B11"/>
    <mergeCell ref="X15:X17"/>
    <mergeCell ref="N4:P4"/>
    <mergeCell ref="N17:P17"/>
    <mergeCell ref="T3:V4"/>
    <mergeCell ref="H17:J17"/>
    <mergeCell ref="K17:M17"/>
    <mergeCell ref="Q17:S17"/>
    <mergeCell ref="T17:V17"/>
    <mergeCell ref="X3:X5"/>
    <mergeCell ref="H4:J4"/>
    <mergeCell ref="K4:M4"/>
    <mergeCell ref="Q4:S4"/>
    <mergeCell ref="H3:S3"/>
  </mergeCells>
  <phoneticPr fontId="1" type="noConversion"/>
  <pageMargins left="0.5" right="0.25" top="0.5" bottom="0.5" header="0.5" footer="0.5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Tháng 10.2025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Ngoc Chien</dc:creator>
  <cp:lastModifiedBy>Trần Ngọc Hải</cp:lastModifiedBy>
  <dcterms:created xsi:type="dcterms:W3CDTF">2025-05-08T03:12:44Z</dcterms:created>
  <dcterms:modified xsi:type="dcterms:W3CDTF">2025-12-22T14:17:31Z</dcterms:modified>
</cp:coreProperties>
</file>