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vdoa\Downloads\"/>
    </mc:Choice>
  </mc:AlternateContent>
  <bookViews>
    <workbookView xWindow="0" yWindow="0" windowWidth="23040" windowHeight="8415"/>
  </bookViews>
  <sheets>
    <sheet name="CN cuối kì 2" sheetId="2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1" i="2" l="1"/>
  <c r="E13" i="2" l="1"/>
  <c r="F13" i="2" s="1"/>
  <c r="V13" i="2"/>
  <c r="W13" i="2"/>
  <c r="E12" i="2"/>
  <c r="F12" i="2" s="1"/>
  <c r="V12" i="2"/>
  <c r="W12" i="2"/>
  <c r="E11" i="2"/>
  <c r="F11" i="2" s="1"/>
  <c r="V11" i="2"/>
  <c r="E9" i="2" l="1"/>
  <c r="F9" i="2" s="1"/>
  <c r="V9" i="2"/>
  <c r="W9" i="2"/>
  <c r="E10" i="2"/>
  <c r="F10" i="2" s="1"/>
  <c r="V10" i="2"/>
  <c r="W10" i="2"/>
  <c r="V14" i="2"/>
  <c r="U15" i="2"/>
  <c r="U16" i="2" s="1"/>
  <c r="T15" i="2"/>
  <c r="T16" i="2" s="1"/>
  <c r="S15" i="2"/>
  <c r="S16" i="2" s="1"/>
  <c r="R15" i="2"/>
  <c r="R16" i="2" s="1"/>
  <c r="Q15" i="2"/>
  <c r="Q16" i="2" s="1"/>
  <c r="P15" i="2"/>
  <c r="O15" i="2"/>
  <c r="O16" i="2" s="1"/>
  <c r="N15" i="2"/>
  <c r="N16" i="2" s="1"/>
  <c r="M15" i="2"/>
  <c r="L15" i="2"/>
  <c r="L16" i="2" s="1"/>
  <c r="K15" i="2"/>
  <c r="K16" i="2" s="1"/>
  <c r="J15" i="2"/>
  <c r="J16" i="2" s="1"/>
  <c r="I15" i="2"/>
  <c r="I16" i="2" s="1"/>
  <c r="H15" i="2"/>
  <c r="G15" i="2"/>
  <c r="G16" i="2" s="1"/>
  <c r="D15" i="2"/>
  <c r="W8" i="2"/>
  <c r="V8" i="2"/>
  <c r="E8" i="2"/>
  <c r="F8" i="2" s="1"/>
  <c r="W7" i="2"/>
  <c r="V7" i="2"/>
  <c r="E7" i="2"/>
  <c r="E15" i="2" l="1"/>
  <c r="V15" i="2"/>
  <c r="G26" i="2"/>
  <c r="P17" i="2"/>
  <c r="W15" i="2"/>
  <c r="M17" i="2"/>
  <c r="H27" i="2"/>
  <c r="G17" i="2"/>
  <c r="S17" i="2"/>
  <c r="H26" i="2"/>
  <c r="F7" i="2"/>
  <c r="F15" i="2" s="1"/>
  <c r="H16" i="2"/>
  <c r="G27" i="2" s="1"/>
  <c r="P16" i="2"/>
  <c r="J17" i="2"/>
  <c r="M16" i="2"/>
  <c r="V17" i="2" l="1"/>
  <c r="V16" i="2"/>
</calcChain>
</file>

<file path=xl/sharedStrings.xml><?xml version="1.0" encoding="utf-8"?>
<sst xmlns="http://schemas.openxmlformats.org/spreadsheetml/2006/main" count="55" uniqueCount="39">
  <si>
    <t>TT</t>
  </si>
  <si>
    <t xml:space="preserve">Chương/Chủ đề </t>
  </si>
  <si>
    <t>Nội dung/đơn vị kiến thức</t>
  </si>
  <si>
    <t>Số tiết</t>
  </si>
  <si>
    <t>Tỉ lệ</t>
  </si>
  <si>
    <t>Số điểm cần đạt</t>
  </si>
  <si>
    <t>Mức độ đánh giá</t>
  </si>
  <si>
    <t>Tổng số câu/ý</t>
  </si>
  <si>
    <t>Điểm từng bài</t>
  </si>
  <si>
    <t>Nhiều lựa chọn</t>
  </si>
  <si>
    <t>Đúng-Sai</t>
  </si>
  <si>
    <t>Tự luận</t>
  </si>
  <si>
    <t>Biết</t>
  </si>
  <si>
    <t>Hiểu</t>
  </si>
  <si>
    <t>VD</t>
  </si>
  <si>
    <t>Tổng số câu</t>
  </si>
  <si>
    <t>Điểm từng mức độ</t>
  </si>
  <si>
    <t>Số câu/ý</t>
  </si>
  <si>
    <t>Điểm từng phần</t>
  </si>
  <si>
    <t>Nối cột</t>
  </si>
  <si>
    <t>Điền khuyết</t>
  </si>
  <si>
    <t>Điểm 1 câu nhiều lựa chọn</t>
  </si>
  <si>
    <t>Điểm 1 câu đúng sai</t>
  </si>
  <si>
    <t>Điểm 1 câu nối cột</t>
  </si>
  <si>
    <t>Điểm 1 câu điền khuyết</t>
  </si>
  <si>
    <t>Điểm 1 câu tự luận</t>
  </si>
  <si>
    <t>Trắc nghiệm</t>
  </si>
  <si>
    <t>THỦ CÔNG KĨ THUẬT</t>
  </si>
  <si>
    <t>Bài 8: Giới thiệu bộ phận lắp ghép mô hình kĩ thuật</t>
  </si>
  <si>
    <t>Bài 9: Lắp ghép mô hình cái đu</t>
  </si>
  <si>
    <t>Bài 10: Lắp ghép mô hình robot</t>
  </si>
  <si>
    <t>Bài 11: Đồ chơi dân gian</t>
  </si>
  <si>
    <t>Bài 12: Làm chong chóng</t>
  </si>
  <si>
    <t>Bài 13: Làm đèn lồng</t>
  </si>
  <si>
    <t>Làm sản phẩm em yêu thích</t>
  </si>
  <si>
    <t>MA TRẬN ĐỀ KIỂM TRA CUỐI HỌC KÌ II MÔN CÔNG NGHỆ LỚP 4</t>
  </si>
  <si>
    <t>Thực hành</t>
  </si>
  <si>
    <t xml:space="preserve">  + Mức độ đề: 40% Nhận biết; 30% Thông hiểu; 30% Vận dụng;  
  + Nội dung lý thuyết: 70% (7 điểm).
  + Nội dungthực hành: 30% (3 điểm)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</si>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</sst>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Aptos Narrow"/>
      <scheme val="minor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name val="Times New Roman"/>
      <family val="1"/>
    </font>
    <font>
      <sz val="12"/>
      <color rgb="FF000000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theme="0"/>
      </patternFill>
    </fill>
  </fills>
  <borders count="2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theme="1"/>
      </left>
      <right style="thin">
        <color rgb="FF000000"/>
      </right>
      <top/>
      <bottom style="thin">
        <color rgb="FF000000"/>
      </bottom>
      <diagonal/>
    </border>
    <border>
      <left style="thin">
        <color rgb="FFFF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8">
    <xf numFmtId="0" fontId="0" fillId="0" borderId="0" xfId="0" applyFont="1" applyAlignment="1"/>
    <xf numFmtId="0" fontId="2" fillId="0" borderId="0" xfId="0" applyFont="1" applyAlignment="1">
      <alignment horizontal="left" wrapText="1"/>
    </xf>
    <xf numFmtId="2" fontId="4" fillId="2" borderId="7" xfId="0" applyNumberFormat="1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3" fillId="0" borderId="0" xfId="0" applyFont="1"/>
    <xf numFmtId="0" fontId="6" fillId="0" borderId="1" xfId="0" applyFont="1" applyBorder="1" applyAlignment="1"/>
    <xf numFmtId="0" fontId="7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2" fontId="7" fillId="0" borderId="5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" fillId="0" borderId="0" xfId="0" applyFont="1" applyBorder="1" applyAlignment="1"/>
    <xf numFmtId="0" fontId="7" fillId="0" borderId="19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3" borderId="20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0" borderId="20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0" borderId="0" xfId="0" applyFont="1" applyAlignment="1"/>
    <xf numFmtId="0" fontId="3" fillId="0" borderId="10" xfId="0" applyFont="1" applyFill="1" applyBorder="1" applyAlignment="1">
      <alignment vertical="center" wrapText="1"/>
    </xf>
    <xf numFmtId="0" fontId="4" fillId="0" borderId="5" xfId="0" applyFont="1" applyFill="1" applyBorder="1" applyAlignment="1">
      <alignment horizontal="center" vertical="center" wrapText="1"/>
    </xf>
    <xf numFmtId="1" fontId="3" fillId="0" borderId="7" xfId="0" applyNumberFormat="1" applyFont="1" applyFill="1" applyBorder="1" applyAlignment="1">
      <alignment horizontal="center" vertical="center" wrapText="1"/>
    </xf>
    <xf numFmtId="0" fontId="3" fillId="0" borderId="0" xfId="0" applyFont="1" applyAlignment="1"/>
    <xf numFmtId="0" fontId="10" fillId="0" borderId="23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6" fillId="0" borderId="10" xfId="0" applyFont="1" applyBorder="1"/>
    <xf numFmtId="0" fontId="6" fillId="0" borderId="8" xfId="0" applyFont="1" applyBorder="1"/>
    <xf numFmtId="0" fontId="2" fillId="0" borderId="7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/>
    <xf numFmtId="0" fontId="6" fillId="0" borderId="4" xfId="0" applyFont="1" applyBorder="1"/>
    <xf numFmtId="0" fontId="7" fillId="0" borderId="7" xfId="0" applyFont="1" applyBorder="1" applyAlignment="1">
      <alignment horizontal="center" vertical="center" wrapText="1"/>
    </xf>
    <xf numFmtId="0" fontId="9" fillId="0" borderId="10" xfId="0" applyFont="1" applyBorder="1"/>
    <xf numFmtId="0" fontId="9" fillId="0" borderId="8" xfId="0" applyFont="1" applyBorder="1"/>
    <xf numFmtId="0" fontId="9" fillId="0" borderId="7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6" fillId="0" borderId="11" xfId="0" applyFont="1" applyBorder="1"/>
    <xf numFmtId="0" fontId="1" fillId="3" borderId="11" xfId="0" applyFont="1" applyFill="1" applyBorder="1" applyAlignment="1">
      <alignment horizontal="center" vertical="center" wrapText="1"/>
    </xf>
    <xf numFmtId="0" fontId="6" fillId="3" borderId="11" xfId="0" applyFont="1" applyFill="1" applyBorder="1"/>
    <xf numFmtId="0" fontId="1" fillId="0" borderId="11" xfId="0" applyFont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0" borderId="0" xfId="0" applyFont="1" applyAlignment="1"/>
    <xf numFmtId="0" fontId="2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6" fillId="0" borderId="17" xfId="0" applyFont="1" applyBorder="1"/>
    <xf numFmtId="0" fontId="1" fillId="0" borderId="11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1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3"/>
  <sheetViews>
    <sheetView tabSelected="1" zoomScale="69" zoomScaleNormal="69" workbookViewId="0">
      <selection activeCell="W14" sqref="W14"/>
    </sheetView>
  </sheetViews>
  <sheetFormatPr defaultColWidth="12.625" defaultRowHeight="15.75" x14ac:dyDescent="0.25"/>
  <cols>
    <col min="1" max="1" width="5" style="32" customWidth="1"/>
    <col min="2" max="2" width="15.875" style="32" customWidth="1"/>
    <col min="3" max="3" width="26.25" style="32" customWidth="1"/>
    <col min="4" max="4" width="6.625" style="32" customWidth="1"/>
    <col min="5" max="5" width="9.625" style="32" customWidth="1"/>
    <col min="6" max="6" width="8.875" style="32" customWidth="1"/>
    <col min="7" max="21" width="5" style="32" customWidth="1"/>
    <col min="22" max="22" width="5.75" style="32" customWidth="1"/>
    <col min="23" max="23" width="6.125" style="32" customWidth="1"/>
    <col min="24" max="27" width="8.75" style="32" customWidth="1"/>
    <col min="28" max="16384" width="12.625" style="32"/>
  </cols>
  <sheetData>
    <row r="1" spans="1:27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26.25" customHeight="1" x14ac:dyDescent="0.25">
      <c r="A2" s="7"/>
      <c r="B2" s="7"/>
      <c r="C2" s="69" t="s">
        <v>35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31"/>
      <c r="X2" s="7"/>
      <c r="Y2" s="7"/>
      <c r="Z2" s="7"/>
      <c r="AA2" s="7"/>
    </row>
    <row r="3" spans="1:27" ht="50.25" customHeight="1" x14ac:dyDescent="0.25">
      <c r="A3" s="7"/>
      <c r="B3" s="71" t="s">
        <v>37</v>
      </c>
      <c r="C3" s="71"/>
      <c r="D3" s="71"/>
      <c r="E3" s="71"/>
      <c r="F3" s="8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8"/>
      <c r="W3" s="1"/>
      <c r="X3" s="7"/>
      <c r="Y3" s="7"/>
      <c r="Z3" s="7"/>
      <c r="AA3" s="7"/>
    </row>
    <row r="4" spans="1:27" ht="15.6" customHeight="1" x14ac:dyDescent="0.25">
      <c r="A4" s="72" t="s">
        <v>0</v>
      </c>
      <c r="B4" s="60" t="s">
        <v>1</v>
      </c>
      <c r="C4" s="60" t="s">
        <v>2</v>
      </c>
      <c r="D4" s="60" t="s">
        <v>3</v>
      </c>
      <c r="E4" s="60" t="s">
        <v>4</v>
      </c>
      <c r="F4" s="73" t="s">
        <v>5</v>
      </c>
      <c r="G4" s="65" t="s">
        <v>26</v>
      </c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75" t="s">
        <v>11</v>
      </c>
      <c r="T4" s="75"/>
      <c r="U4" s="75"/>
      <c r="V4" s="76" t="s">
        <v>7</v>
      </c>
      <c r="W4" s="60" t="s">
        <v>8</v>
      </c>
      <c r="X4" s="7"/>
      <c r="Y4" s="7"/>
      <c r="Z4" s="7"/>
      <c r="AA4" s="7"/>
    </row>
    <row r="5" spans="1:27" ht="19.5" customHeight="1" x14ac:dyDescent="0.25">
      <c r="A5" s="52"/>
      <c r="B5" s="52"/>
      <c r="C5" s="52"/>
      <c r="D5" s="52"/>
      <c r="E5" s="52"/>
      <c r="F5" s="74"/>
      <c r="G5" s="61" t="s">
        <v>9</v>
      </c>
      <c r="H5" s="62"/>
      <c r="I5" s="62"/>
      <c r="J5" s="63" t="s">
        <v>10</v>
      </c>
      <c r="K5" s="64"/>
      <c r="L5" s="64"/>
      <c r="M5" s="65" t="s">
        <v>19</v>
      </c>
      <c r="N5" s="65"/>
      <c r="O5" s="65"/>
      <c r="P5" s="63" t="s">
        <v>20</v>
      </c>
      <c r="Q5" s="64"/>
      <c r="R5" s="64"/>
      <c r="S5" s="75"/>
      <c r="T5" s="75"/>
      <c r="U5" s="75"/>
      <c r="V5" s="77"/>
      <c r="W5" s="52"/>
      <c r="X5" s="7"/>
      <c r="Y5" s="7"/>
      <c r="Z5" s="7"/>
      <c r="AA5" s="7"/>
    </row>
    <row r="6" spans="1:27" ht="21" customHeight="1" x14ac:dyDescent="0.25">
      <c r="A6" s="53"/>
      <c r="B6" s="52"/>
      <c r="C6" s="53"/>
      <c r="D6" s="52"/>
      <c r="E6" s="53"/>
      <c r="F6" s="52"/>
      <c r="G6" s="22" t="s">
        <v>12</v>
      </c>
      <c r="H6" s="23" t="s">
        <v>13</v>
      </c>
      <c r="I6" s="23" t="s">
        <v>14</v>
      </c>
      <c r="J6" s="24" t="s">
        <v>12</v>
      </c>
      <c r="K6" s="25" t="s">
        <v>13</v>
      </c>
      <c r="L6" s="25" t="s">
        <v>14</v>
      </c>
      <c r="M6" s="26" t="s">
        <v>12</v>
      </c>
      <c r="N6" s="23" t="s">
        <v>13</v>
      </c>
      <c r="O6" s="23" t="s">
        <v>14</v>
      </c>
      <c r="P6" s="27" t="s">
        <v>12</v>
      </c>
      <c r="Q6" s="28" t="s">
        <v>13</v>
      </c>
      <c r="R6" s="28" t="s">
        <v>14</v>
      </c>
      <c r="S6" s="29" t="s">
        <v>12</v>
      </c>
      <c r="T6" s="30" t="s">
        <v>13</v>
      </c>
      <c r="U6" s="30" t="s">
        <v>14</v>
      </c>
      <c r="V6" s="53"/>
      <c r="W6" s="53"/>
      <c r="X6" s="7"/>
      <c r="Y6" s="7"/>
      <c r="Z6" s="7"/>
      <c r="AA6" s="7"/>
    </row>
    <row r="7" spans="1:27" ht="41.25" customHeight="1" x14ac:dyDescent="0.25">
      <c r="A7" s="10">
        <v>1</v>
      </c>
      <c r="B7" s="66" t="s">
        <v>27</v>
      </c>
      <c r="C7" s="37" t="s">
        <v>28</v>
      </c>
      <c r="D7" s="34">
        <v>2</v>
      </c>
      <c r="E7" s="35">
        <f t="shared" ref="E7:E13" si="0">D7*100/SUM($D$7:$D$14)</f>
        <v>12.5</v>
      </c>
      <c r="F7" s="2">
        <f>E7*2.5/100</f>
        <v>0.3125</v>
      </c>
      <c r="G7" s="11">
        <v>1</v>
      </c>
      <c r="H7" s="12"/>
      <c r="I7" s="12"/>
      <c r="J7" s="13"/>
      <c r="K7" s="14"/>
      <c r="L7" s="14"/>
      <c r="M7" s="15"/>
      <c r="N7" s="15"/>
      <c r="O7" s="15"/>
      <c r="P7" s="13"/>
      <c r="Q7" s="14"/>
      <c r="R7" s="14"/>
      <c r="S7" s="16"/>
      <c r="T7" s="12"/>
      <c r="U7" s="12"/>
      <c r="V7" s="17">
        <f>SUM(G7:U7)</f>
        <v>1</v>
      </c>
      <c r="W7" s="39">
        <f t="shared" ref="W7:W13" si="1">SUM(G7:I7)*$D$19+SUM(J7:L7)*$D$20+SUM(M7:O7)*$D$21+SUM(P7:R7)*$D$22+SUM(S7:U7)*$D$23</f>
        <v>0.5</v>
      </c>
      <c r="X7" s="7"/>
      <c r="Y7" s="7"/>
      <c r="Z7" s="7"/>
    </row>
    <row r="8" spans="1:27" ht="41.25" customHeight="1" x14ac:dyDescent="0.25">
      <c r="A8" s="10">
        <v>2</v>
      </c>
      <c r="B8" s="67"/>
      <c r="C8" s="38" t="s">
        <v>29</v>
      </c>
      <c r="D8" s="34">
        <v>2</v>
      </c>
      <c r="E8" s="35">
        <f t="shared" si="0"/>
        <v>12.5</v>
      </c>
      <c r="F8" s="2">
        <f t="shared" ref="F8:F10" si="2">E8*2.5/100</f>
        <v>0.3125</v>
      </c>
      <c r="G8" s="11"/>
      <c r="H8" s="12">
        <v>1</v>
      </c>
      <c r="I8" s="12"/>
      <c r="J8" s="13"/>
      <c r="K8" s="14"/>
      <c r="L8" s="14"/>
      <c r="M8" s="15"/>
      <c r="N8" s="15"/>
      <c r="O8" s="15"/>
      <c r="P8" s="13"/>
      <c r="Q8" s="14"/>
      <c r="R8" s="14"/>
      <c r="S8" s="16"/>
      <c r="T8" s="12"/>
      <c r="U8" s="12"/>
      <c r="V8" s="17">
        <f t="shared" ref="V8:V14" si="3">SUM(G8:U8)</f>
        <v>1</v>
      </c>
      <c r="W8" s="39">
        <f t="shared" si="1"/>
        <v>0.5</v>
      </c>
      <c r="X8" s="7"/>
      <c r="Y8" s="7"/>
      <c r="Z8" s="7"/>
    </row>
    <row r="9" spans="1:27" ht="41.25" customHeight="1" x14ac:dyDescent="0.25">
      <c r="A9" s="10">
        <v>3</v>
      </c>
      <c r="B9" s="67"/>
      <c r="C9" s="33" t="s">
        <v>30</v>
      </c>
      <c r="D9" s="34">
        <v>2</v>
      </c>
      <c r="E9" s="35">
        <f t="shared" si="0"/>
        <v>12.5</v>
      </c>
      <c r="F9" s="2">
        <f t="shared" si="2"/>
        <v>0.3125</v>
      </c>
      <c r="G9" s="11">
        <v>1</v>
      </c>
      <c r="H9" s="12">
        <v>1</v>
      </c>
      <c r="I9" s="12"/>
      <c r="J9" s="13"/>
      <c r="K9" s="14"/>
      <c r="L9" s="14"/>
      <c r="M9" s="15"/>
      <c r="N9" s="15"/>
      <c r="O9" s="15">
        <v>1</v>
      </c>
      <c r="P9" s="13"/>
      <c r="Q9" s="14"/>
      <c r="R9" s="14"/>
      <c r="S9" s="16"/>
      <c r="T9" s="12"/>
      <c r="U9" s="12"/>
      <c r="V9" s="17">
        <f t="shared" si="3"/>
        <v>3</v>
      </c>
      <c r="W9" s="39">
        <f t="shared" si="1"/>
        <v>2</v>
      </c>
      <c r="X9" s="7"/>
      <c r="Y9" s="7"/>
      <c r="Z9" s="7"/>
    </row>
    <row r="10" spans="1:27" ht="41.25" customHeight="1" x14ac:dyDescent="0.25">
      <c r="A10" s="10">
        <v>4</v>
      </c>
      <c r="B10" s="67"/>
      <c r="C10" s="33" t="s">
        <v>31</v>
      </c>
      <c r="D10" s="34">
        <v>2</v>
      </c>
      <c r="E10" s="35">
        <f t="shared" si="0"/>
        <v>12.5</v>
      </c>
      <c r="F10" s="2">
        <f t="shared" si="2"/>
        <v>0.3125</v>
      </c>
      <c r="G10" s="11"/>
      <c r="H10" s="12">
        <v>1</v>
      </c>
      <c r="I10" s="12"/>
      <c r="J10" s="13"/>
      <c r="K10" s="14"/>
      <c r="L10" s="14"/>
      <c r="M10" s="15"/>
      <c r="N10" s="15"/>
      <c r="O10" s="15"/>
      <c r="P10" s="13"/>
      <c r="Q10" s="14"/>
      <c r="R10" s="14"/>
      <c r="S10" s="16"/>
      <c r="T10" s="12"/>
      <c r="U10" s="12"/>
      <c r="V10" s="17">
        <f t="shared" si="3"/>
        <v>1</v>
      </c>
      <c r="W10" s="39">
        <f t="shared" si="1"/>
        <v>0.5</v>
      </c>
      <c r="X10" s="7"/>
      <c r="Y10" s="7"/>
      <c r="Z10" s="7"/>
    </row>
    <row r="11" spans="1:27" s="36" customFormat="1" ht="41.25" customHeight="1" x14ac:dyDescent="0.25">
      <c r="A11" s="10"/>
      <c r="B11" s="67"/>
      <c r="C11" s="33" t="s">
        <v>32</v>
      </c>
      <c r="D11" s="34">
        <v>3</v>
      </c>
      <c r="E11" s="35">
        <f t="shared" si="0"/>
        <v>18.75</v>
      </c>
      <c r="F11" s="2">
        <f t="shared" ref="F11" si="4">E11*2.5/100</f>
        <v>0.46875</v>
      </c>
      <c r="G11" s="11">
        <v>1</v>
      </c>
      <c r="H11" s="12"/>
      <c r="I11" s="12"/>
      <c r="J11" s="13"/>
      <c r="K11" s="14"/>
      <c r="L11" s="14"/>
      <c r="M11" s="15"/>
      <c r="N11" s="15"/>
      <c r="O11" s="15"/>
      <c r="P11" s="13"/>
      <c r="Q11" s="14"/>
      <c r="R11" s="14">
        <v>1</v>
      </c>
      <c r="S11" s="16"/>
      <c r="T11" s="12"/>
      <c r="U11" s="12"/>
      <c r="V11" s="17">
        <f t="shared" ref="V11" si="5">SUM(G11:U11)</f>
        <v>2</v>
      </c>
      <c r="W11" s="39">
        <f t="shared" si="1"/>
        <v>1</v>
      </c>
      <c r="X11" s="7"/>
      <c r="Y11" s="7"/>
      <c r="Z11" s="7"/>
    </row>
    <row r="12" spans="1:27" s="36" customFormat="1" ht="41.25" customHeight="1" x14ac:dyDescent="0.25">
      <c r="A12" s="10"/>
      <c r="B12" s="67"/>
      <c r="C12" s="33" t="s">
        <v>33</v>
      </c>
      <c r="D12" s="34">
        <v>3</v>
      </c>
      <c r="E12" s="35">
        <f t="shared" si="0"/>
        <v>18.75</v>
      </c>
      <c r="F12" s="2">
        <f t="shared" ref="F12:F13" si="6">E12*2.5/100</f>
        <v>0.46875</v>
      </c>
      <c r="G12" s="11">
        <v>1</v>
      </c>
      <c r="H12" s="12"/>
      <c r="I12" s="12"/>
      <c r="J12" s="13"/>
      <c r="K12" s="14">
        <v>1</v>
      </c>
      <c r="L12" s="14"/>
      <c r="M12" s="15"/>
      <c r="N12" s="15"/>
      <c r="O12" s="15"/>
      <c r="P12" s="13"/>
      <c r="Q12" s="14"/>
      <c r="R12" s="14">
        <v>1</v>
      </c>
      <c r="S12" s="16"/>
      <c r="T12" s="12"/>
      <c r="U12" s="12"/>
      <c r="V12" s="17">
        <f t="shared" ref="V12" si="7">SUM(G12:U12)</f>
        <v>3</v>
      </c>
      <c r="W12" s="39">
        <f t="shared" si="1"/>
        <v>1.5</v>
      </c>
      <c r="X12" s="7"/>
      <c r="Y12" s="7"/>
      <c r="Z12" s="7"/>
    </row>
    <row r="13" spans="1:27" s="36" customFormat="1" ht="41.25" customHeight="1" x14ac:dyDescent="0.25">
      <c r="A13" s="10"/>
      <c r="B13" s="67"/>
      <c r="C13" s="33" t="s">
        <v>34</v>
      </c>
      <c r="D13" s="34">
        <v>2</v>
      </c>
      <c r="E13" s="35">
        <f t="shared" si="0"/>
        <v>12.5</v>
      </c>
      <c r="F13" s="2">
        <f t="shared" si="6"/>
        <v>0.3125</v>
      </c>
      <c r="G13" s="11"/>
      <c r="H13" s="12"/>
      <c r="I13" s="12"/>
      <c r="J13" s="13"/>
      <c r="K13" s="14"/>
      <c r="L13" s="14"/>
      <c r="M13" s="15"/>
      <c r="N13" s="15"/>
      <c r="O13" s="15">
        <v>1</v>
      </c>
      <c r="P13" s="13"/>
      <c r="Q13" s="14"/>
      <c r="R13" s="14"/>
      <c r="S13" s="16"/>
      <c r="T13" s="12"/>
      <c r="U13" s="12"/>
      <c r="V13" s="17">
        <f t="shared" ref="V13" si="8">SUM(G13:U13)</f>
        <v>1</v>
      </c>
      <c r="W13" s="39">
        <f t="shared" si="1"/>
        <v>1</v>
      </c>
      <c r="X13" s="7"/>
      <c r="Y13" s="7"/>
      <c r="Z13" s="7"/>
    </row>
    <row r="14" spans="1:27" ht="41.25" customHeight="1" x14ac:dyDescent="0.25">
      <c r="A14" s="10">
        <v>5</v>
      </c>
      <c r="B14" s="68"/>
      <c r="C14" s="33" t="s">
        <v>36</v>
      </c>
      <c r="D14" s="34"/>
      <c r="E14" s="35"/>
      <c r="F14" s="2"/>
      <c r="G14" s="11"/>
      <c r="H14" s="12"/>
      <c r="I14" s="12"/>
      <c r="J14" s="13"/>
      <c r="K14" s="14"/>
      <c r="L14" s="14"/>
      <c r="M14" s="15"/>
      <c r="N14" s="15"/>
      <c r="O14" s="15"/>
      <c r="P14" s="13"/>
      <c r="Q14" s="14"/>
      <c r="R14" s="14"/>
      <c r="S14" s="16"/>
      <c r="T14" s="12"/>
      <c r="U14" s="12"/>
      <c r="V14" s="17">
        <f t="shared" si="3"/>
        <v>0</v>
      </c>
      <c r="W14" s="40">
        <v>3</v>
      </c>
      <c r="X14" s="7"/>
      <c r="Y14" s="7"/>
      <c r="Z14" s="7"/>
      <c r="AA14" s="32" t="s">
        <v>38</v>
      </c>
    </row>
    <row r="15" spans="1:27" ht="18.75" customHeight="1" x14ac:dyDescent="0.25">
      <c r="A15" s="48" t="s">
        <v>15</v>
      </c>
      <c r="B15" s="49"/>
      <c r="C15" s="50"/>
      <c r="D15" s="3">
        <f>SUM(D7:D14)</f>
        <v>16</v>
      </c>
      <c r="E15" s="18">
        <f>SUM(E7:E14)/2</f>
        <v>50</v>
      </c>
      <c r="F15" s="19">
        <f t="shared" ref="F15:W15" si="9">SUM(F7:F14)</f>
        <v>2.5</v>
      </c>
      <c r="G15" s="9">
        <f t="shared" si="9"/>
        <v>4</v>
      </c>
      <c r="H15" s="9">
        <f t="shared" si="9"/>
        <v>3</v>
      </c>
      <c r="I15" s="9">
        <f t="shared" si="9"/>
        <v>0</v>
      </c>
      <c r="J15" s="9">
        <f t="shared" si="9"/>
        <v>0</v>
      </c>
      <c r="K15" s="9">
        <f t="shared" si="9"/>
        <v>1</v>
      </c>
      <c r="L15" s="9">
        <f t="shared" si="9"/>
        <v>0</v>
      </c>
      <c r="M15" s="9">
        <f t="shared" si="9"/>
        <v>0</v>
      </c>
      <c r="N15" s="9">
        <f t="shared" si="9"/>
        <v>0</v>
      </c>
      <c r="O15" s="9">
        <f t="shared" si="9"/>
        <v>2</v>
      </c>
      <c r="P15" s="9">
        <f t="shared" si="9"/>
        <v>0</v>
      </c>
      <c r="Q15" s="9">
        <f t="shared" si="9"/>
        <v>0</v>
      </c>
      <c r="R15" s="9">
        <f t="shared" si="9"/>
        <v>2</v>
      </c>
      <c r="S15" s="9">
        <f t="shared" si="9"/>
        <v>0</v>
      </c>
      <c r="T15" s="9">
        <f t="shared" si="9"/>
        <v>0</v>
      </c>
      <c r="U15" s="9">
        <f t="shared" si="9"/>
        <v>0</v>
      </c>
      <c r="V15" s="3">
        <f t="shared" si="9"/>
        <v>12</v>
      </c>
      <c r="W15" s="51">
        <f t="shared" si="9"/>
        <v>10</v>
      </c>
      <c r="X15" s="7"/>
      <c r="Y15" s="7"/>
      <c r="Z15" s="7"/>
      <c r="AA15" s="7"/>
    </row>
    <row r="16" spans="1:27" ht="18.75" customHeight="1" x14ac:dyDescent="0.25">
      <c r="A16" s="41" t="s">
        <v>16</v>
      </c>
      <c r="B16" s="42"/>
      <c r="C16" s="42"/>
      <c r="D16" s="42"/>
      <c r="E16" s="42"/>
      <c r="F16" s="43"/>
      <c r="G16" s="9">
        <f>G15*$D$19</f>
        <v>2</v>
      </c>
      <c r="H16" s="9">
        <f t="shared" ref="H16:I16" si="10">H15*$D$19</f>
        <v>1.5</v>
      </c>
      <c r="I16" s="9">
        <f t="shared" si="10"/>
        <v>0</v>
      </c>
      <c r="J16" s="9">
        <f>J15*$D$20</f>
        <v>0</v>
      </c>
      <c r="K16" s="9">
        <f t="shared" ref="K16:L16" si="11">K15*$D$20</f>
        <v>0.5</v>
      </c>
      <c r="L16" s="9">
        <f t="shared" si="11"/>
        <v>0</v>
      </c>
      <c r="M16" s="9">
        <f>M15*$D$21</f>
        <v>0</v>
      </c>
      <c r="N16" s="9">
        <f t="shared" ref="N16:O16" si="12">N15*$D$21</f>
        <v>0</v>
      </c>
      <c r="O16" s="9">
        <f t="shared" si="12"/>
        <v>2</v>
      </c>
      <c r="P16" s="9">
        <f>P15*$D$22</f>
        <v>0</v>
      </c>
      <c r="Q16" s="9">
        <f t="shared" ref="Q16:R16" si="13">Q15*$D$22</f>
        <v>0</v>
      </c>
      <c r="R16" s="9">
        <f t="shared" si="13"/>
        <v>1</v>
      </c>
      <c r="S16" s="9">
        <f>S15*$D$23</f>
        <v>0</v>
      </c>
      <c r="T16" s="9">
        <f t="shared" ref="T16:U16" si="14">T15*$D$23</f>
        <v>0</v>
      </c>
      <c r="U16" s="9">
        <f t="shared" si="14"/>
        <v>0</v>
      </c>
      <c r="V16" s="3">
        <f>SUM(G16:U16)</f>
        <v>7</v>
      </c>
      <c r="W16" s="52"/>
      <c r="X16" s="7"/>
      <c r="Y16" s="7"/>
      <c r="Z16" s="7"/>
      <c r="AA16" s="7"/>
    </row>
    <row r="17" spans="1:27" ht="18.75" customHeight="1" x14ac:dyDescent="0.25">
      <c r="A17" s="41" t="s">
        <v>4</v>
      </c>
      <c r="B17" s="42"/>
      <c r="C17" s="42"/>
      <c r="D17" s="42"/>
      <c r="E17" s="42"/>
      <c r="F17" s="43"/>
      <c r="G17" s="54">
        <f>(G15+H15+I15)*$D$19*10</f>
        <v>35</v>
      </c>
      <c r="H17" s="55"/>
      <c r="I17" s="56"/>
      <c r="J17" s="41">
        <f>(J15+K15+L15)*$D$20*10</f>
        <v>5</v>
      </c>
      <c r="K17" s="55"/>
      <c r="L17" s="56"/>
      <c r="M17" s="57">
        <f>(M15+N15+O15)*$D$21*10</f>
        <v>20</v>
      </c>
      <c r="N17" s="58"/>
      <c r="O17" s="59"/>
      <c r="P17" s="41">
        <f>(P15+Q15+R15)*$D$22*10</f>
        <v>10</v>
      </c>
      <c r="Q17" s="55"/>
      <c r="R17" s="56"/>
      <c r="S17" s="41">
        <f>(S15+T15+U15)*$D$23*10</f>
        <v>0</v>
      </c>
      <c r="T17" s="55"/>
      <c r="U17" s="56"/>
      <c r="V17" s="3">
        <f>SUM(G17+J17+P17+S17)</f>
        <v>50</v>
      </c>
      <c r="W17" s="53"/>
      <c r="X17" s="7"/>
      <c r="Y17" s="7"/>
      <c r="Z17" s="7"/>
      <c r="AA17" s="7"/>
    </row>
    <row r="18" spans="1:27" ht="15.75" customHeight="1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7" ht="15.75" customHeight="1" x14ac:dyDescent="0.25">
      <c r="A19" s="7"/>
      <c r="B19" s="7"/>
      <c r="C19" s="7" t="s">
        <v>21</v>
      </c>
      <c r="D19" s="7">
        <v>0.5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7" ht="15.75" customHeight="1" x14ac:dyDescent="0.25">
      <c r="A20" s="7"/>
      <c r="B20" s="7"/>
      <c r="C20" s="7" t="s">
        <v>22</v>
      </c>
      <c r="D20" s="7">
        <v>0.5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7" ht="15.75" customHeight="1" x14ac:dyDescent="0.25">
      <c r="A21" s="7"/>
      <c r="B21" s="7"/>
      <c r="C21" s="7" t="s">
        <v>23</v>
      </c>
      <c r="D21" s="7">
        <v>1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ht="15.75" customHeight="1" x14ac:dyDescent="0.25">
      <c r="A22" s="7"/>
      <c r="B22" s="7"/>
      <c r="C22" s="7" t="s">
        <v>24</v>
      </c>
      <c r="D22" s="7">
        <v>0.5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ht="15.75" customHeight="1" x14ac:dyDescent="0.25">
      <c r="A23" s="7"/>
      <c r="B23" s="7"/>
      <c r="C23" s="7" t="s">
        <v>25</v>
      </c>
      <c r="D23" s="7">
        <v>1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ht="15.75" customHeight="1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ht="39" customHeight="1" x14ac:dyDescent="0.25">
      <c r="A25" s="7"/>
      <c r="B25" s="7"/>
      <c r="C25" s="41" t="s">
        <v>6</v>
      </c>
      <c r="D25" s="42"/>
      <c r="E25" s="43"/>
      <c r="F25" s="3" t="s">
        <v>12</v>
      </c>
      <c r="G25" s="3" t="s">
        <v>13</v>
      </c>
      <c r="H25" s="3" t="s">
        <v>14</v>
      </c>
      <c r="I25" s="4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ht="21.75" customHeight="1" x14ac:dyDescent="0.25">
      <c r="A26" s="7"/>
      <c r="B26" s="7"/>
      <c r="C26" s="44" t="s">
        <v>17</v>
      </c>
      <c r="D26" s="45"/>
      <c r="E26" s="46"/>
      <c r="F26" s="3">
        <v>4</v>
      </c>
      <c r="G26" s="3">
        <f t="shared" ref="G26:H27" si="15">H15+K15+N15+Q15+T15</f>
        <v>4</v>
      </c>
      <c r="H26" s="3">
        <f t="shared" si="15"/>
        <v>4</v>
      </c>
      <c r="I26" s="5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ht="21.75" customHeight="1" x14ac:dyDescent="0.25">
      <c r="A27" s="7"/>
      <c r="B27" s="7"/>
      <c r="C27" s="47" t="s">
        <v>18</v>
      </c>
      <c r="D27" s="45"/>
      <c r="E27" s="46"/>
      <c r="F27" s="6">
        <v>2</v>
      </c>
      <c r="G27" s="6">
        <f t="shared" si="15"/>
        <v>2</v>
      </c>
      <c r="H27" s="6">
        <f t="shared" si="15"/>
        <v>3</v>
      </c>
      <c r="I27" s="20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ht="15.7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ht="15.7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ht="15.7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ht="15.7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ht="15.7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15.7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ht="15.7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ht="15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ht="15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ht="15.7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ht="15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ht="15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ht="15.7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ht="15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ht="15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ht="15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ht="15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ht="15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ht="15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ht="15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ht="15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ht="15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ht="15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ht="15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ht="15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ht="15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ht="15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ht="15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ht="15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 ht="15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ht="15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ht="15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ht="15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ht="15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ht="15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ht="15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ht="15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ht="15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ht="15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ht="15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5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5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5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15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5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5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5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5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5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5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ht="15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ht="15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5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15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5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5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5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15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ht="15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ht="15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ht="15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ht="15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ht="15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ht="15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ht="15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ht="15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ht="15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ht="15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ht="15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ht="15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ht="15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ht="15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ht="15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ht="15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ht="15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 ht="15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ht="15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ht="15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ht="15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ht="15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ht="15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 ht="15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ht="15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ht="15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ht="15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ht="15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ht="15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ht="15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ht="15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 ht="15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ht="15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 ht="15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ht="15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ht="15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ht="15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 ht="15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 ht="15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1:27" ht="15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 ht="15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 ht="15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ht="15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ht="15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ht="15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 ht="15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ht="15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ht="15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ht="15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ht="15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ht="15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ht="15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ht="15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 ht="15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 ht="15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1:27" ht="15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 ht="15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 ht="15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ht="15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 ht="15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ht="15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ht="15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ht="15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ht="15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ht="15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ht="15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ht="15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ht="15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ht="15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 ht="15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ht="15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ht="15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ht="15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ht="15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ht="15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ht="15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ht="15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ht="15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ht="15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ht="15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ht="15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ht="15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ht="15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ht="15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ht="15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 ht="15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ht="15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 ht="15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ht="15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ht="15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ht="15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ht="15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ht="15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ht="15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ht="15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ht="15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ht="15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ht="15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ht="15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ht="15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ht="15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ht="15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ht="15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ht="15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ht="15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ht="15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ht="15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ht="15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ht="15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ht="15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ht="15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ht="15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ht="15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ht="15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ht="15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ht="15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ht="15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ht="15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ht="15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 ht="15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ht="15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ht="15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ht="15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ht="15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ht="15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ht="15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ht="15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ht="15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ht="15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ht="15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ht="15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ht="15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ht="15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ht="15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ht="15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ht="15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 ht="15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 ht="15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 ht="15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 ht="15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 ht="15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 ht="15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 ht="15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 ht="15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 ht="15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 ht="15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 ht="15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 ht="15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 ht="15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 ht="15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1:27" ht="15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1:27" ht="15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1:27" ht="15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1:27" ht="15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 ht="15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 ht="15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 ht="15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 ht="15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 ht="15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 ht="15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 ht="15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 ht="15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 ht="15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7" ht="15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 ht="15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 ht="15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 ht="15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7" ht="15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1:27" ht="15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1:27" ht="15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1:27" ht="15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 ht="15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7" ht="15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1:27" ht="15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 ht="15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 ht="15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 ht="15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 ht="15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 ht="15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 ht="15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 ht="15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 ht="15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 ht="15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 ht="15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1:27" ht="15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1:27" ht="15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1:27" ht="15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1:27" ht="15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 ht="15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 ht="15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 ht="15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 ht="15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 ht="15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 ht="15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 ht="15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1:27" ht="15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 ht="15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 ht="15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 ht="15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 ht="15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 ht="15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 ht="15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 ht="15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 ht="15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 ht="15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1:27" ht="15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 ht="15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1:27" ht="15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 ht="15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1:27" ht="15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 ht="15.7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1:27" ht="15.7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 ht="15.7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1:27" ht="15.7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1:27" ht="15.7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spans="1:27" ht="15.7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 ht="15.7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1:27" ht="15.7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7" ht="15.7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 ht="15.7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 ht="15.7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 ht="15.7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 ht="15.7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 ht="15.7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 ht="15.7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 ht="15.7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 ht="15.7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 ht="15.7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 ht="15.7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1:27" ht="15.7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7" ht="15.7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1:27" ht="15.7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1:27" ht="15.7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 ht="15.7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7" ht="15.7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1:27" ht="15.7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 ht="15.7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1:27" ht="15.7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1:27" ht="15.7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 ht="15.7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7" ht="15.7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1:27" ht="15.7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 ht="15.7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 ht="15.7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1:27" ht="15.7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 ht="15.7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 ht="15.7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 ht="15.7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 ht="15.7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1:27" ht="15.7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 ht="15.7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 ht="15.7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 ht="15.7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 ht="15.7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 ht="15.7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 ht="15.7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 ht="15.7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 ht="15.7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 ht="15.7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 ht="15.7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1:27" ht="15.7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1:27" ht="15.7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1:27" ht="15.7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spans="1:27" ht="15.7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 ht="15.7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1:27" ht="15.7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1:27" ht="15.7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1:27" ht="15.7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1:27" ht="15.7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spans="1:27" ht="15.7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spans="1:27" ht="15.7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1:27" ht="15.7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1:27" ht="15.7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1:27" ht="15.7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spans="1:27" ht="15.7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1:27" ht="15.7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 ht="15.7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1:27" ht="15.7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 ht="15.7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1:27" ht="15.7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 ht="15.7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1:27" ht="15.7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1:27" ht="15.7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spans="1:27" ht="15.7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1:27" ht="15.7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spans="1:27" ht="15.7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spans="1:27" ht="15.7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spans="1:27" ht="15.7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7" ht="15.7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1:27" ht="15.7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 ht="15.7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1:27" ht="15.7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1:27" ht="15.7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spans="1:27" ht="15.7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 ht="15.7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1:27" ht="15.7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 ht="15.7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spans="1:27" ht="15.7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1:27" ht="15.7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 ht="15.7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 ht="15.7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1:27" ht="15.7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 ht="15.7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1:27" ht="15.7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1:27" ht="15.7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1:27" ht="15.7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spans="1:27" ht="15.7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spans="1:27" ht="15.7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spans="1:27" ht="15.7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spans="1:27" ht="15.7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1:27" ht="15.7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1:27" ht="15.7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 ht="15.7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1:27" ht="15.7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 ht="15.7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 ht="15.7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 ht="15.7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spans="1:27" ht="15.7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spans="1:27" ht="15.7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spans="1:27" ht="15.7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spans="1:27" ht="15.7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1:27" ht="15.7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1:27" ht="15.7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1:27" ht="15.7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1:27" ht="15.7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1:27" ht="15.7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1:27" ht="15.7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1:27" ht="15.7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1:27" ht="15.7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spans="1:27" ht="15.7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1:27" ht="15.7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1:27" ht="15.7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 ht="15.7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1:27" ht="15.7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 ht="15.7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1:27" ht="15.7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1:27" ht="15.7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1:27" ht="15.7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 ht="15.7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1:27" ht="15.7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1:27" ht="15.7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spans="1:27" ht="15.7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spans="1:27" ht="15.7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spans="1:27" ht="15.7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spans="1:27" ht="15.7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spans="1:27" ht="15.7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spans="1:27" ht="15.7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spans="1:27" ht="15.7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spans="1:27" ht="15.7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spans="1:27" ht="15.7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spans="1:27" ht="15.7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spans="1:27" ht="15.7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spans="1:27" ht="15.7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spans="1:27" ht="15.7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spans="1:27" ht="15.7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1:27" ht="15.7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 ht="15.7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spans="1:27" ht="15.7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spans="1:27" ht="15.7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spans="1:27" ht="15.7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spans="1:27" ht="15.7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spans="1:27" ht="15.7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spans="1:27" ht="15.7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spans="1:27" ht="15.7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spans="1:27" ht="15.7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spans="1:27" ht="15.7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spans="1:27" ht="15.7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spans="1:27" ht="15.7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spans="1:27" ht="15.7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spans="1:27" ht="15.7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spans="1:27" ht="15.7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spans="1:27" ht="15.7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spans="1:27" ht="15.7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spans="1:27" ht="15.7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spans="1:27" ht="15.7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spans="1:27" ht="15.7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spans="1:27" ht="15.7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spans="1:27" ht="15.7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1:27" ht="15.7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spans="1:27" ht="15.7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spans="1:27" ht="15.7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spans="1:27" ht="15.7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1:27" ht="15.7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1:27" ht="15.7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1:27" ht="15.7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spans="1:27" ht="15.7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spans="1:27" ht="15.7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spans="1:27" ht="15.7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spans="1:27" ht="15.7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spans="1:27" ht="15.7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spans="1:27" ht="15.7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spans="1:27" ht="15.7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spans="1:27" ht="15.7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spans="1:27" ht="15.7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spans="1:27" ht="15.7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spans="1:27" ht="15.7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spans="1:27" ht="15.7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spans="1:27" ht="15.7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spans="1:27" ht="15.7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spans="1:27" ht="15.7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spans="1:27" ht="15.7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spans="1:27" ht="15.7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1:27" ht="15.75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spans="1:27" ht="15.75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1:27" ht="15.75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spans="1:27" ht="15.75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1:27" ht="15.75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spans="1:27" ht="15.75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spans="1:27" ht="15.75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spans="1:27" ht="15.75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spans="1:27" ht="15.75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spans="1:27" ht="15.75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spans="1:27" ht="15.75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spans="1:27" ht="15.75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spans="1:27" ht="15.75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spans="1:27" ht="15.75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spans="1:27" ht="15.75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spans="1:27" ht="15.75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spans="1:27" ht="15.75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spans="1:27" ht="15.75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spans="1:27" ht="15.75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spans="1:27" ht="15.75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spans="1:27" ht="15.75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spans="1:27" ht="15.75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spans="1:27" ht="15.75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spans="1:27" ht="15.75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spans="1:27" ht="15.75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spans="1:27" ht="15.75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spans="1:27" ht="15.75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spans="1:27" ht="15.75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spans="1:27" ht="15.75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spans="1:27" ht="15.75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spans="1:27" ht="15.75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spans="1:27" ht="15.75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spans="1:27" ht="15.75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spans="1:27" ht="15.75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spans="1:27" ht="15.75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spans="1:27" ht="15.75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spans="1:27" ht="15.75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spans="1:27" ht="15.75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spans="1:27" ht="15.75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spans="1:27" ht="15.75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spans="1:27" ht="15.75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spans="1:27" ht="15.75" customHeight="1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spans="1:27" ht="15.75" customHeight="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spans="1:27" ht="15.75" customHeight="1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spans="1:27" ht="15.75" customHeight="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spans="1:27" ht="15.75" customHeight="1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spans="1:27" ht="15.75" customHeight="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spans="1:27" ht="15.75" customHeight="1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spans="1:27" ht="15.75" customHeight="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spans="1:27" ht="15.75" customHeight="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spans="1:27" ht="15.75" customHeight="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spans="1:27" ht="15.75" customHeight="1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spans="1:27" ht="15.75" customHeight="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spans="1:27" ht="15.75" customHeight="1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spans="1:27" ht="15.75" customHeight="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spans="1:27" ht="15.75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spans="1:27" ht="15.75" customHeight="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spans="1:27" ht="15.75" customHeight="1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spans="1:27" ht="15.75" customHeight="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spans="1:27" ht="15.75" customHeight="1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spans="1:27" ht="15.75" customHeight="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spans="1:27" ht="15.75" customHeight="1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spans="1:27" ht="15.75" customHeight="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spans="1:27" ht="15.75" customHeight="1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spans="1:27" ht="15.75" customHeight="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spans="1:27" ht="15.75" customHeight="1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spans="1:27" ht="15.75" customHeight="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spans="1:27" ht="15.75" customHeight="1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spans="1:27" ht="15.75" customHeight="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spans="1:27" ht="15.75" customHeight="1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spans="1:27" ht="15.75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spans="1:27" ht="15.75" customHeight="1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spans="1:27" ht="15.75" customHeight="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spans="1:27" ht="15.75" customHeight="1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spans="1:27" ht="15.75" customHeight="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spans="1:27" ht="15.75" customHeight="1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spans="1:27" ht="15.75" customHeight="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spans="1:27" ht="15.75" customHeight="1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spans="1:27" ht="15.75" customHeight="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spans="1:27" ht="15.75" customHeight="1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spans="1:27" ht="15.75" customHeight="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spans="1:27" ht="15.75" customHeight="1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spans="1:27" ht="15.75" customHeight="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spans="1:27" ht="15.75" customHeight="1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spans="1:27" ht="15.75" customHeight="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spans="1:27" ht="15.75" customHeight="1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spans="1:27" ht="15.75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spans="1:27" ht="15.75" customHeight="1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spans="1:27" ht="15.75" customHeight="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spans="1:27" ht="15.75" customHeight="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spans="1:27" ht="15.75" customHeight="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spans="1:27" ht="15.75" customHeight="1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spans="1:27" ht="15.75" customHeight="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spans="1:27" ht="15.75" customHeight="1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spans="1:27" ht="15.75" customHeight="1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spans="1:27" ht="15.75" customHeight="1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spans="1:27" ht="15.75" customHeight="1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spans="1:27" ht="15.75" customHeight="1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spans="1:27" ht="15.75" customHeight="1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spans="1:27" ht="15.75" customHeight="1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spans="1:27" ht="15.75" customHeight="1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spans="1:27" ht="15.75" customHeight="1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spans="1:27" ht="15.75" customHeight="1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spans="1:27" ht="15.75" customHeight="1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spans="1:27" ht="15.75" customHeight="1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spans="1:27" ht="15.75" customHeight="1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spans="1:27" ht="15.75" customHeight="1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spans="1:27" ht="15.75" customHeight="1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spans="1:27" ht="15.75" customHeight="1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spans="1:27" ht="15.75" customHeight="1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spans="1:27" ht="15.75" customHeight="1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spans="1:27" ht="15.75" customHeight="1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spans="1:27" ht="15.75" customHeight="1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spans="1:27" ht="15.75" customHeight="1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spans="1:27" ht="15.75" customHeight="1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spans="1:27" ht="15.75" customHeight="1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spans="1:27" ht="15.75" customHeight="1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spans="1:27" ht="15.75" customHeight="1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spans="1:27" ht="15.75" customHeight="1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spans="1:27" ht="15.75" customHeight="1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spans="1:27" ht="15.75" customHeight="1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spans="1:27" ht="15.75" customHeight="1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spans="1:27" ht="15.75" customHeight="1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spans="1:27" ht="15.75" customHeight="1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spans="1:27" ht="15.75" customHeight="1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spans="1:27" ht="15.75" customHeight="1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spans="1:27" ht="15.75" customHeight="1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spans="1:27" ht="15.75" customHeight="1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spans="1:27" ht="15.75" customHeight="1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spans="1:27" ht="15.75" customHeight="1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spans="1:27" ht="15.75" customHeight="1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spans="1:27" ht="15.75" customHeight="1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spans="1:27" ht="15.75" customHeight="1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spans="1:27" ht="15.75" customHeight="1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spans="1:27" ht="15.75" customHeight="1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spans="1:27" ht="15.75" customHeight="1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spans="1:27" ht="15.75" customHeight="1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spans="1:27" ht="15.75" customHeight="1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spans="1:27" ht="15.75" customHeight="1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spans="1:27" ht="15.75" customHeight="1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spans="1:27" ht="15.75" customHeight="1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spans="1:27" ht="15.75" customHeight="1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spans="1:27" ht="15.75" customHeight="1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spans="1:27" ht="15.75" customHeight="1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spans="1:27" ht="15.75" customHeight="1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spans="1:27" ht="15.75" customHeight="1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spans="1:27" ht="15.75" customHeight="1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spans="1:27" ht="15.75" customHeight="1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spans="1:27" ht="15.75" customHeight="1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spans="1:27" ht="15.75" customHeight="1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spans="1:27" ht="15.75" customHeight="1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spans="1:27" ht="15.75" customHeight="1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spans="1:27" ht="15.75" customHeight="1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spans="1:27" ht="15.75" customHeight="1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spans="1:27" ht="15.75" customHeight="1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spans="1:27" ht="15.75" customHeight="1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spans="1:27" ht="15.75" customHeight="1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spans="1:27" ht="15.75" customHeight="1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spans="1:27" ht="15.75" customHeight="1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spans="1:27" ht="15.75" customHeight="1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spans="1:27" ht="15.75" customHeight="1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spans="1:27" ht="15.75" customHeight="1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spans="1:27" ht="15.75" customHeight="1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spans="1:27" ht="15.75" customHeight="1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spans="1:27" ht="15.75" customHeight="1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spans="1:27" ht="15.75" customHeight="1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spans="1:27" ht="15.75" customHeight="1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spans="1:27" ht="15.75" customHeight="1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spans="1:27" ht="15.75" customHeight="1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spans="1:27" ht="15.75" customHeight="1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spans="1:27" ht="15.75" customHeight="1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spans="1:27" ht="15.75" customHeight="1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spans="1:27" ht="15.75" customHeight="1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spans="1:27" ht="15.75" customHeight="1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spans="1:27" ht="15.75" customHeight="1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spans="1:27" ht="15.75" customHeight="1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spans="1:27" ht="15.75" customHeight="1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spans="1:27" ht="15.75" customHeight="1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spans="1:27" ht="15.75" customHeight="1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spans="1:27" ht="15.75" customHeight="1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spans="1:27" ht="15.75" customHeight="1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spans="1:27" ht="15.75" customHeight="1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spans="1:27" ht="15.75" customHeight="1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spans="1:27" ht="15.75" customHeight="1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spans="1:27" ht="15.75" customHeight="1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spans="1:27" ht="15.75" customHeight="1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spans="1:27" ht="15.75" customHeight="1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spans="1:27" ht="15.75" customHeight="1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spans="1:27" ht="15.75" customHeight="1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spans="1:27" ht="15.75" customHeight="1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spans="1:27" ht="15.75" customHeight="1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spans="1:27" ht="15.75" customHeight="1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spans="1:27" ht="15.75" customHeight="1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spans="1:27" ht="15.75" customHeight="1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spans="1:27" ht="15.75" customHeight="1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spans="1:27" ht="15.75" customHeight="1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spans="1:27" ht="15.75" customHeight="1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spans="1:27" ht="15.75" customHeight="1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spans="1:27" ht="15.75" customHeight="1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spans="1:27" ht="15.75" customHeight="1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spans="1:27" ht="15.75" customHeight="1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spans="1:27" ht="15.75" customHeight="1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spans="1:27" ht="15.75" customHeight="1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spans="1:27" ht="15.75" customHeight="1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spans="1:27" ht="15.75" customHeight="1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spans="1:27" ht="15.75" customHeight="1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spans="1:27" ht="15.75" customHeight="1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spans="1:27" ht="15.75" customHeight="1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spans="1:27" ht="15.75" customHeight="1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spans="1:27" ht="15.75" customHeight="1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spans="1:27" ht="15.75" customHeight="1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spans="1:27" ht="15.75" customHeight="1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spans="1:27" ht="15.75" customHeight="1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spans="1:27" ht="15.75" customHeight="1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spans="1:27" ht="15.75" customHeight="1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spans="1:27" ht="15.75" customHeight="1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spans="1:27" ht="15.75" customHeight="1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spans="1:27" ht="15.75" customHeight="1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spans="1:27" ht="15.75" customHeight="1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spans="1:27" ht="15.75" customHeight="1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spans="1:27" ht="15.75" customHeight="1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spans="1:27" ht="15.75" customHeight="1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spans="1:27" ht="15.75" customHeight="1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spans="1:27" ht="15.75" customHeight="1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spans="1:27" ht="15.75" customHeight="1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spans="1:27" ht="15.75" customHeight="1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spans="1:27" ht="15.75" customHeight="1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spans="1:27" ht="15.75" customHeight="1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spans="1:27" ht="15.75" customHeight="1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spans="1:27" ht="15.75" customHeight="1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spans="1:27" ht="15.75" customHeight="1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spans="1:27" ht="15.75" customHeight="1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spans="1:27" ht="15.75" customHeight="1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spans="1:27" ht="15.75" customHeight="1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spans="1:27" ht="15.75" customHeight="1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spans="1:27" ht="15.75" customHeight="1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spans="1:27" ht="15.75" customHeight="1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spans="1:27" ht="15.75" customHeight="1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spans="1:27" ht="15.75" customHeight="1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spans="1:27" ht="15.75" customHeight="1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spans="1:27" ht="15.75" customHeight="1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spans="1:27" ht="15.75" customHeight="1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spans="1:27" ht="15.75" customHeight="1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spans="1:27" ht="15.75" customHeight="1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spans="1:27" ht="15.75" customHeight="1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spans="1:27" ht="15.75" customHeight="1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spans="1:27" ht="15.75" customHeight="1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spans="1:27" ht="15.75" customHeight="1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spans="1:27" ht="15.75" customHeight="1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spans="1:27" ht="15.75" customHeight="1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spans="1:27" ht="15.75" customHeight="1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spans="1:27" ht="15.75" customHeight="1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spans="1:27" ht="15.75" customHeight="1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spans="1:27" ht="15.75" customHeight="1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spans="1:27" ht="15.75" customHeight="1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spans="1:27" ht="15.75" customHeight="1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spans="1:27" ht="15.75" customHeight="1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spans="1:27" ht="15.75" customHeight="1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spans="1:27" ht="15.75" customHeight="1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spans="1:27" ht="15.75" customHeight="1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spans="1:27" ht="15.75" customHeight="1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spans="1:27" ht="15.75" customHeight="1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spans="1:27" ht="15.75" customHeight="1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spans="1:27" ht="15.75" customHeight="1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spans="1:27" ht="15.75" customHeight="1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spans="1:27" ht="15.75" customHeight="1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spans="1:27" ht="15.75" customHeight="1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spans="1:27" ht="15.75" customHeight="1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spans="1:27" ht="15.75" customHeight="1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spans="1:27" ht="15.75" customHeight="1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spans="1:27" ht="15.75" customHeight="1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spans="1:27" ht="15.75" customHeight="1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spans="1:27" ht="15.75" customHeight="1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spans="1:27" ht="15.75" customHeight="1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spans="1:27" ht="15.75" customHeight="1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spans="1:27" ht="15.75" customHeight="1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spans="1:27" ht="15.75" customHeight="1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spans="1:27" ht="15.75" customHeight="1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spans="1:27" ht="15.75" customHeight="1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spans="1:27" ht="15.75" customHeight="1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spans="1:27" ht="15.75" customHeight="1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spans="1:27" ht="15.75" customHeight="1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spans="1:27" ht="15.75" customHeight="1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spans="1:27" ht="15.75" customHeight="1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spans="1:27" ht="15.75" customHeight="1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spans="1:27" ht="15.75" customHeight="1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spans="1:27" ht="15.75" customHeight="1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spans="1:27" ht="15.75" customHeight="1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spans="1:27" ht="15.75" customHeight="1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spans="1:27" ht="15.75" customHeight="1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spans="1:27" ht="15.75" customHeight="1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spans="1:27" ht="15.75" customHeight="1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spans="1:27" ht="15.75" customHeight="1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spans="1:27" ht="15.75" customHeight="1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spans="1:27" ht="15.75" customHeight="1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spans="1:27" ht="15.75" customHeight="1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spans="1:27" ht="15.75" customHeight="1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spans="1:27" ht="15.75" customHeight="1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spans="1:27" ht="15.75" customHeight="1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spans="1:27" ht="15.75" customHeight="1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spans="1:27" ht="15.75" customHeight="1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spans="1:27" ht="15.75" customHeight="1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spans="1:27" ht="15.75" customHeight="1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spans="1:27" ht="15.75" customHeight="1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spans="1:27" ht="15.75" customHeight="1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spans="1:27" ht="15.75" customHeight="1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spans="1:27" ht="15.75" customHeight="1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spans="1:27" ht="15.75" customHeight="1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spans="1:27" ht="15.75" customHeight="1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spans="1:27" ht="15.75" customHeight="1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spans="1:27" ht="15.75" customHeight="1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spans="1:27" ht="15.75" customHeight="1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spans="1:27" ht="15.75" customHeight="1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spans="1:27" ht="15.75" customHeight="1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spans="1:27" ht="15.75" customHeight="1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spans="1:27" ht="15.75" customHeight="1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spans="1:27" ht="15.75" customHeight="1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spans="1:27" ht="15.75" customHeight="1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spans="1:27" ht="15.75" customHeight="1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spans="1:27" ht="15.75" customHeight="1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spans="1:27" ht="15.75" customHeight="1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spans="1:27" ht="15.75" customHeight="1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spans="1:27" ht="15.75" customHeight="1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spans="1:27" ht="15.75" customHeight="1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spans="1:27" ht="15.75" customHeight="1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spans="1:27" ht="15.75" customHeight="1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spans="1:27" ht="15.75" customHeight="1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spans="1:27" ht="15.75" customHeight="1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spans="1:27" ht="15.75" customHeight="1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spans="1:27" ht="15.75" customHeight="1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spans="1:27" ht="15.75" customHeight="1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spans="1:27" ht="15.75" customHeight="1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spans="1:27" ht="15.75" customHeight="1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spans="1:27" ht="15.75" customHeight="1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spans="1:27" ht="15.75" customHeight="1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spans="1:27" ht="15.75" customHeight="1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spans="1:27" ht="15.75" customHeight="1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spans="1:27" ht="15.75" customHeight="1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spans="1:27" ht="15.75" customHeight="1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spans="1:27" ht="15.75" customHeight="1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spans="1:27" ht="15.75" customHeight="1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spans="1:27" ht="15.75" customHeight="1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spans="1:27" ht="15.75" customHeight="1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spans="1:27" ht="15.75" customHeight="1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spans="1:27" ht="15.75" customHeight="1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spans="1:27" ht="15.75" customHeight="1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spans="1:27" ht="15.75" customHeight="1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spans="1:27" ht="15.75" customHeight="1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spans="1:27" ht="15.75" customHeight="1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spans="1:27" ht="15.75" customHeight="1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spans="1:27" ht="15.75" customHeight="1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spans="1:27" ht="15.75" customHeight="1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spans="1:27" ht="15.75" customHeight="1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spans="1:27" ht="15.75" customHeight="1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spans="1:27" ht="15.75" customHeight="1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spans="1:27" ht="15.75" customHeight="1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spans="1:27" ht="15.75" customHeight="1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spans="1:27" ht="15.75" customHeight="1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spans="1:27" ht="15.75" customHeight="1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spans="1:27" ht="15.75" customHeight="1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spans="1:27" ht="15.75" customHeight="1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spans="1:27" ht="15.75" customHeight="1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spans="1:27" ht="15.75" customHeight="1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spans="1:27" ht="15.75" customHeight="1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spans="1:27" ht="15.75" customHeight="1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spans="1:27" ht="15.75" customHeight="1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spans="1:27" ht="15.75" customHeight="1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spans="1:27" ht="15.75" customHeight="1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spans="1:27" ht="15.75" customHeight="1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spans="1:27" ht="15.75" customHeight="1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spans="1:27" ht="15.75" customHeight="1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spans="1:27" ht="15.75" customHeight="1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spans="1:27" ht="15.75" customHeight="1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spans="1:27" ht="15.75" customHeight="1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spans="1:27" ht="15.7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spans="1:27" ht="15.75" customHeight="1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spans="1:27" ht="15.75" customHeight="1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spans="1:27" ht="15.75" customHeight="1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spans="1:27" ht="15.75" customHeight="1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spans="1:27" ht="15.75" customHeight="1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spans="1:27" ht="15.75" customHeight="1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spans="1:27" ht="15.75" customHeight="1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spans="1:27" ht="15.75" customHeight="1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spans="1:27" ht="15.75" customHeight="1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spans="1:27" ht="15.75" customHeight="1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spans="1:27" ht="15.75" customHeight="1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spans="1:27" ht="15.75" customHeight="1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spans="1:27" ht="15.75" customHeight="1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spans="1:27" ht="15.75" customHeight="1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spans="1:27" ht="15.75" customHeight="1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spans="1:27" ht="15.75" customHeight="1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spans="1:27" ht="15.75" customHeight="1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spans="1:27" ht="15.75" customHeight="1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spans="1:27" ht="15.75" customHeight="1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spans="1:27" ht="15.75" customHeight="1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spans="1:27" ht="15.75" customHeight="1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spans="1:27" ht="15.75" customHeight="1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spans="1:27" ht="15.75" customHeight="1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spans="1:27" ht="15.75" customHeight="1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spans="1:27" ht="15.75" customHeight="1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spans="1:27" ht="15.75" customHeight="1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spans="1:27" ht="15.75" customHeight="1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spans="1:27" ht="15.75" customHeight="1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spans="1:27" ht="15.75" customHeight="1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spans="1:27" ht="15.75" customHeight="1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spans="1:27" ht="15.75" customHeight="1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spans="1:27" ht="15.75" customHeight="1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spans="1:27" ht="15.75" customHeight="1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spans="1:27" ht="15.75" customHeight="1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spans="1:27" ht="15.75" customHeight="1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spans="1:27" ht="15.75" customHeight="1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spans="1:27" ht="15.75" customHeight="1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spans="1:27" ht="15.75" customHeight="1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spans="1:27" ht="15.75" customHeight="1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spans="1:27" ht="15.75" customHeight="1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spans="1:27" ht="15.75" customHeight="1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spans="1:27" ht="15.75" customHeight="1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spans="1:27" ht="15.75" customHeight="1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spans="1:27" ht="15.75" customHeight="1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spans="1:27" ht="15.75" customHeight="1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spans="1:27" ht="15.75" customHeight="1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spans="1:27" ht="15.75" customHeight="1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spans="1:27" ht="15.75" customHeight="1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spans="1:27" ht="15.75" customHeight="1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spans="1:27" ht="15.75" customHeight="1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spans="1:27" ht="15.75" customHeight="1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spans="1:27" ht="15.75" customHeight="1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spans="1:27" ht="15.75" customHeight="1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spans="1:27" ht="15.75" customHeight="1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spans="1:27" ht="15.75" customHeight="1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spans="1:27" ht="15.75" customHeight="1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spans="1:27" ht="15.75" customHeight="1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spans="1:27" ht="15.75" customHeight="1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spans="1:27" ht="15.75" customHeight="1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spans="1:27" ht="15.75" customHeight="1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spans="1:27" ht="15.75" customHeight="1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spans="1:27" ht="15.75" customHeight="1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spans="1:27" ht="15.75" customHeight="1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spans="1:27" ht="15.75" customHeight="1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spans="1:27" ht="15.75" customHeight="1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spans="1:27" ht="15.75" customHeight="1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spans="1:27" ht="15.75" customHeight="1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spans="1:27" ht="15.75" customHeight="1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spans="1:27" ht="15.75" customHeight="1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spans="1:27" ht="15.75" customHeight="1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spans="1:27" ht="15.75" customHeight="1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spans="1:27" ht="15.75" customHeight="1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spans="1:27" ht="15.75" customHeight="1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spans="1:27" ht="15.75" customHeight="1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spans="1:27" ht="15.75" customHeight="1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spans="1:27" ht="15.75" customHeight="1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spans="1:27" ht="15.75" customHeight="1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spans="1:27" ht="15.75" customHeight="1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spans="1:27" ht="15.75" customHeight="1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spans="1:27" ht="15.75" customHeight="1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spans="1:27" ht="15.75" customHeight="1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spans="1:27" ht="15.75" customHeight="1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spans="1:27" ht="15.75" customHeight="1" x14ac:dyDescent="0.2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spans="1:27" ht="15.75" customHeight="1" x14ac:dyDescent="0.2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spans="1:27" ht="15.75" customHeight="1" x14ac:dyDescent="0.2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spans="1:27" ht="15.75" customHeight="1" x14ac:dyDescent="0.2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spans="1:27" ht="15.75" customHeight="1" x14ac:dyDescent="0.2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spans="1:27" ht="15.75" customHeight="1" x14ac:dyDescent="0.2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spans="1:27" ht="15.75" customHeight="1" x14ac:dyDescent="0.2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spans="1:27" ht="15.75" customHeight="1" x14ac:dyDescent="0.2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spans="1:27" ht="15.75" customHeight="1" x14ac:dyDescent="0.2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spans="1:27" ht="15.75" customHeight="1" x14ac:dyDescent="0.2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spans="1:27" ht="15.75" customHeight="1" x14ac:dyDescent="0.2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spans="1:27" ht="15.75" customHeight="1" x14ac:dyDescent="0.2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spans="1:27" ht="15.75" customHeight="1" x14ac:dyDescent="0.2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spans="1:27" ht="15.75" customHeight="1" x14ac:dyDescent="0.2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spans="1:27" ht="15.75" customHeight="1" x14ac:dyDescent="0.2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spans="1:27" ht="15.75" customHeight="1" x14ac:dyDescent="0.2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spans="1:27" ht="15.75" customHeight="1" x14ac:dyDescent="0.2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spans="1:27" ht="15.75" customHeight="1" x14ac:dyDescent="0.2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spans="1:27" ht="15.75" customHeight="1" x14ac:dyDescent="0.2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spans="1:27" ht="15.75" customHeight="1" x14ac:dyDescent="0.2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spans="1:27" ht="15.75" customHeight="1" x14ac:dyDescent="0.2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spans="1:27" ht="15.75" customHeight="1" x14ac:dyDescent="0.2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spans="1:27" ht="15.75" customHeight="1" x14ac:dyDescent="0.2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spans="1:27" ht="15.75" customHeight="1" x14ac:dyDescent="0.2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spans="1:27" ht="15.75" customHeight="1" x14ac:dyDescent="0.2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spans="1:27" ht="15.75" customHeight="1" x14ac:dyDescent="0.2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spans="1:27" ht="15.75" customHeight="1" x14ac:dyDescent="0.2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spans="1:27" ht="15.75" customHeight="1" x14ac:dyDescent="0.2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spans="1:27" ht="15.75" customHeight="1" x14ac:dyDescent="0.2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spans="1:27" ht="15.75" customHeight="1" x14ac:dyDescent="0.2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spans="1:27" ht="15.75" customHeight="1" x14ac:dyDescent="0.2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spans="1:27" ht="15.75" customHeight="1" x14ac:dyDescent="0.2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spans="1:27" ht="15.75" customHeight="1" x14ac:dyDescent="0.2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spans="1:27" ht="15.75" customHeight="1" x14ac:dyDescent="0.2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spans="1:27" ht="15.75" customHeight="1" x14ac:dyDescent="0.2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spans="1:27" ht="15.75" customHeight="1" x14ac:dyDescent="0.2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spans="1:27" ht="15.75" customHeight="1" x14ac:dyDescent="0.2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spans="1:27" ht="15.75" customHeight="1" x14ac:dyDescent="0.2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spans="1:27" ht="15.75" customHeight="1" x14ac:dyDescent="0.2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spans="1:27" ht="15.75" customHeight="1" x14ac:dyDescent="0.2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spans="1:27" ht="15.75" customHeight="1" x14ac:dyDescent="0.2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spans="1:27" ht="15.75" customHeight="1" x14ac:dyDescent="0.2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spans="1:27" ht="15.75" customHeight="1" x14ac:dyDescent="0.2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spans="1:27" ht="15.75" customHeight="1" x14ac:dyDescent="0.2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spans="1:27" ht="15.75" customHeight="1" x14ac:dyDescent="0.2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spans="1:27" ht="15.75" customHeight="1" x14ac:dyDescent="0.2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spans="1:27" ht="15.75" customHeight="1" x14ac:dyDescent="0.2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spans="1:27" ht="15.75" customHeight="1" x14ac:dyDescent="0.2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spans="1:27" ht="15.75" customHeight="1" x14ac:dyDescent="0.2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 spans="1:27" ht="15.75" customHeight="1" x14ac:dyDescent="0.2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 spans="1:27" ht="15.75" customHeight="1" x14ac:dyDescent="0.2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 spans="1:27" ht="15.75" customHeight="1" x14ac:dyDescent="0.2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 spans="1:27" ht="15.75" customHeight="1" x14ac:dyDescent="0.2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 spans="1:27" ht="15.75" customHeight="1" x14ac:dyDescent="0.2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 spans="1:27" ht="15.75" customHeight="1" x14ac:dyDescent="0.2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 spans="1:27" ht="15.75" customHeight="1" x14ac:dyDescent="0.25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  <row r="1001" spans="1:27" ht="15.75" customHeight="1" x14ac:dyDescent="0.25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</row>
    <row r="1002" spans="1:27" ht="15.75" customHeight="1" x14ac:dyDescent="0.25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</row>
    <row r="1003" spans="1:27" ht="15.75" customHeight="1" x14ac:dyDescent="0.25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</row>
  </sheetData>
  <mergeCells count="29">
    <mergeCell ref="B7:B14"/>
    <mergeCell ref="C2:V2"/>
    <mergeCell ref="B3:E3"/>
    <mergeCell ref="A4:A6"/>
    <mergeCell ref="B4:B6"/>
    <mergeCell ref="C4:C6"/>
    <mergeCell ref="D4:D6"/>
    <mergeCell ref="E4:E6"/>
    <mergeCell ref="F4:F6"/>
    <mergeCell ref="G4:R4"/>
    <mergeCell ref="S4:U5"/>
    <mergeCell ref="V4:V6"/>
    <mergeCell ref="W4:W6"/>
    <mergeCell ref="G5:I5"/>
    <mergeCell ref="J5:L5"/>
    <mergeCell ref="M5:O5"/>
    <mergeCell ref="P5:R5"/>
    <mergeCell ref="C25:E25"/>
    <mergeCell ref="C26:E26"/>
    <mergeCell ref="C27:E27"/>
    <mergeCell ref="A15:C15"/>
    <mergeCell ref="W15:W17"/>
    <mergeCell ref="A16:F16"/>
    <mergeCell ref="A17:F17"/>
    <mergeCell ref="G17:I17"/>
    <mergeCell ref="J17:L17"/>
    <mergeCell ref="M17:O17"/>
    <mergeCell ref="P17:R17"/>
    <mergeCell ref="S17:U17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 cuối kì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Ngoc Chien</dc:creator>
  <cp:lastModifiedBy>Nguyen Van Doan</cp:lastModifiedBy>
  <cp:lastPrinted>2025-05-12T07:58:30Z</cp:lastPrinted>
  <dcterms:created xsi:type="dcterms:W3CDTF">2025-05-08T03:12:44Z</dcterms:created>
  <dcterms:modified xsi:type="dcterms:W3CDTF">2025-05-16T09:09:36Z</dcterms:modified>
</cp:coreProperties>
</file>