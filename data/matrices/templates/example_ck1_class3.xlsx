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HẢI TRẦN\NĂM HỌC ALL\2025-2026\03. TÀI LIỆU TẬP HUẤN (Tin học và Công nghệ)-20251127T070034Z-1-001\03. TÀI LIỆU TẬP HUẤN (Tin học và Công nghệ)\MA TRẬN TIN HỌC\Lớp 3 Tin\"/>
    </mc:Choice>
  </mc:AlternateContent>
  <bookViews>
    <workbookView xWindow="-105" yWindow="-105" windowWidth="23250" windowHeight="12570"/>
  </bookViews>
  <sheets>
    <sheet name="Cuối HK 1 " sheetId="1" r:id="rId1"/>
    <sheet name="Cuối HK 1  (2)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2" l="1"/>
  <c r="U24" i="2"/>
  <c r="U25" i="2" s="1"/>
  <c r="T24" i="2"/>
  <c r="S26" i="2" s="1"/>
  <c r="S24" i="2"/>
  <c r="S25" i="2" s="1"/>
  <c r="R24" i="2"/>
  <c r="R25" i="2" s="1"/>
  <c r="Q24" i="2"/>
  <c r="Q25" i="2" s="1"/>
  <c r="P24" i="2"/>
  <c r="O24" i="2"/>
  <c r="O25" i="2" s="1"/>
  <c r="N24" i="2"/>
  <c r="N25" i="2" s="1"/>
  <c r="M24" i="2"/>
  <c r="L24" i="2"/>
  <c r="L25" i="2" s="1"/>
  <c r="K24" i="2"/>
  <c r="K25" i="2" s="1"/>
  <c r="J24" i="2"/>
  <c r="J25" i="2" s="1"/>
  <c r="I24" i="2"/>
  <c r="I25" i="2" s="1"/>
  <c r="H24" i="2"/>
  <c r="G24" i="2"/>
  <c r="D24" i="2"/>
  <c r="W23" i="2"/>
  <c r="V23" i="2"/>
  <c r="E23" i="2"/>
  <c r="F23" i="2" s="1"/>
  <c r="W22" i="2"/>
  <c r="V22" i="2"/>
  <c r="E22" i="2"/>
  <c r="F22" i="2" s="1"/>
  <c r="W21" i="2"/>
  <c r="V21" i="2"/>
  <c r="E21" i="2"/>
  <c r="F21" i="2" s="1"/>
  <c r="W20" i="2"/>
  <c r="V20" i="2"/>
  <c r="E20" i="2"/>
  <c r="F20" i="2" s="1"/>
  <c r="W19" i="2"/>
  <c r="V19" i="2"/>
  <c r="E19" i="2"/>
  <c r="F19" i="2" s="1"/>
  <c r="W18" i="2"/>
  <c r="V18" i="2"/>
  <c r="E18" i="2"/>
  <c r="F18" i="2" s="1"/>
  <c r="W17" i="2"/>
  <c r="V17" i="2"/>
  <c r="E17" i="2"/>
  <c r="F17" i="2" s="1"/>
  <c r="W16" i="2"/>
  <c r="V16" i="2"/>
  <c r="E16" i="2"/>
  <c r="F16" i="2" s="1"/>
  <c r="W15" i="2"/>
  <c r="V15" i="2"/>
  <c r="E15" i="2"/>
  <c r="F15" i="2" s="1"/>
  <c r="W14" i="2"/>
  <c r="V14" i="2"/>
  <c r="E14" i="2"/>
  <c r="F14" i="2" s="1"/>
  <c r="W13" i="2"/>
  <c r="V13" i="2"/>
  <c r="E13" i="2"/>
  <c r="F13" i="2" s="1"/>
  <c r="W12" i="2"/>
  <c r="V12" i="2"/>
  <c r="E12" i="2"/>
  <c r="F12" i="2" s="1"/>
  <c r="W11" i="2"/>
  <c r="V11" i="2"/>
  <c r="E11" i="2"/>
  <c r="F11" i="2" s="1"/>
  <c r="W10" i="2"/>
  <c r="V10" i="2"/>
  <c r="E10" i="2"/>
  <c r="F10" i="2" s="1"/>
  <c r="W9" i="2"/>
  <c r="V9" i="2"/>
  <c r="E9" i="2"/>
  <c r="F9" i="2" s="1"/>
  <c r="W8" i="2"/>
  <c r="V8" i="2"/>
  <c r="E8" i="2"/>
  <c r="F8" i="2" s="1"/>
  <c r="W7" i="2"/>
  <c r="V7" i="2"/>
  <c r="E7" i="2"/>
  <c r="E24" i="2" s="1"/>
  <c r="F35" i="2" l="1"/>
  <c r="V24" i="2"/>
  <c r="G35" i="2"/>
  <c r="P26" i="2"/>
  <c r="W24" i="2"/>
  <c r="M26" i="2"/>
  <c r="H36" i="2"/>
  <c r="G26" i="2"/>
  <c r="V26" i="2" s="1"/>
  <c r="H35" i="2"/>
  <c r="F7" i="2"/>
  <c r="F24" i="2" s="1"/>
  <c r="H25" i="2"/>
  <c r="P25" i="2"/>
  <c r="T25" i="2"/>
  <c r="J26" i="2"/>
  <c r="M25" i="2"/>
  <c r="G26" i="1"/>
  <c r="E7" i="1"/>
  <c r="W22" i="1"/>
  <c r="V22" i="1"/>
  <c r="E22" i="1"/>
  <c r="F22" i="1" s="1"/>
  <c r="W21" i="1"/>
  <c r="V21" i="1"/>
  <c r="E21" i="1"/>
  <c r="F21" i="1" s="1"/>
  <c r="W20" i="1"/>
  <c r="V20" i="1"/>
  <c r="E20" i="1"/>
  <c r="F20" i="1" s="1"/>
  <c r="F36" i="2" l="1"/>
  <c r="G36" i="2"/>
  <c r="V25" i="2"/>
  <c r="W8" i="1"/>
  <c r="W9" i="1"/>
  <c r="W10" i="1"/>
  <c r="W11" i="1"/>
  <c r="W12" i="1"/>
  <c r="W13" i="1"/>
  <c r="W14" i="1"/>
  <c r="W15" i="1"/>
  <c r="W16" i="1"/>
  <c r="W17" i="1"/>
  <c r="W18" i="1"/>
  <c r="W19" i="1"/>
  <c r="W23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3" i="1"/>
  <c r="V7" i="1"/>
  <c r="E17" i="1"/>
  <c r="F17" i="1" s="1"/>
  <c r="E18" i="1"/>
  <c r="F18" i="1" s="1"/>
  <c r="E19" i="1"/>
  <c r="F19" i="1" s="1"/>
  <c r="E23" i="1"/>
  <c r="F23" i="1" s="1"/>
  <c r="E16" i="1"/>
  <c r="F16" i="1" s="1"/>
  <c r="E15" i="1"/>
  <c r="F15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24" i="1" l="1"/>
  <c r="F7" i="1"/>
  <c r="W24" i="1"/>
  <c r="N24" i="1" l="1"/>
  <c r="N25" i="1" s="1"/>
  <c r="O24" i="1"/>
  <c r="O25" i="1" s="1"/>
  <c r="H24" i="1"/>
  <c r="I24" i="1"/>
  <c r="J24" i="1"/>
  <c r="J25" i="1" s="1"/>
  <c r="K24" i="1"/>
  <c r="K25" i="1" s="1"/>
  <c r="L24" i="1"/>
  <c r="L25" i="1" s="1"/>
  <c r="M24" i="1"/>
  <c r="P24" i="1"/>
  <c r="P25" i="1" s="1"/>
  <c r="Q24" i="1"/>
  <c r="Q25" i="1" s="1"/>
  <c r="R24" i="1"/>
  <c r="R25" i="1" s="1"/>
  <c r="S24" i="1"/>
  <c r="T24" i="1"/>
  <c r="T25" i="1" s="1"/>
  <c r="U24" i="1"/>
  <c r="U25" i="1" s="1"/>
  <c r="G24" i="1"/>
  <c r="D24" i="1"/>
  <c r="G25" i="1" l="1"/>
  <c r="F35" i="1"/>
  <c r="I25" i="1"/>
  <c r="H36" i="1" s="1"/>
  <c r="H35" i="1"/>
  <c r="H25" i="1"/>
  <c r="G36" i="1" s="1"/>
  <c r="G35" i="1"/>
  <c r="M26" i="1"/>
  <c r="M25" i="1"/>
  <c r="P26" i="1"/>
  <c r="J26" i="1"/>
  <c r="S26" i="1"/>
  <c r="S25" i="1"/>
  <c r="V24" i="1"/>
  <c r="F36" i="1" l="1"/>
  <c r="V26" i="1"/>
  <c r="V25" i="1"/>
  <c r="F24" i="1"/>
</calcChain>
</file>

<file path=xl/sharedStrings.xml><?xml version="1.0" encoding="utf-8"?>
<sst xmlns="http://schemas.openxmlformats.org/spreadsheetml/2006/main" count="138" uniqueCount="63">
  <si>
    <t>TT</t>
  </si>
  <si>
    <t xml:space="preserve">Chương/Chủ đề </t>
  </si>
  <si>
    <t>Nội dung/đơn vị kiến thức</t>
  </si>
  <si>
    <t>Số tiết</t>
  </si>
  <si>
    <t>Tỉ lệ</t>
  </si>
  <si>
    <t>Số điểm cần đạt</t>
  </si>
  <si>
    <t>Mức độ đánh giá</t>
  </si>
  <si>
    <t>Tổng số câu/ý</t>
  </si>
  <si>
    <t>Điểm từng bài</t>
  </si>
  <si>
    <t>Nhiều lựa chọn</t>
  </si>
  <si>
    <t>Đúng-Sai</t>
  </si>
  <si>
    <t>Tự luận</t>
  </si>
  <si>
    <t>Biết</t>
  </si>
  <si>
    <t>Hiểu</t>
  </si>
  <si>
    <t>VD</t>
  </si>
  <si>
    <t>Tổng số câu</t>
  </si>
  <si>
    <t>Điểm từng mức độ</t>
  </si>
  <si>
    <t>Số câu/ý</t>
  </si>
  <si>
    <t>Điểm từng phần</t>
  </si>
  <si>
    <t>Nối cột</t>
  </si>
  <si>
    <t>Điền khuyết</t>
  </si>
  <si>
    <t>Điểm 1 câu nhiều lựa chọn</t>
  </si>
  <si>
    <t>Điểm 1 câu đúng sai</t>
  </si>
  <si>
    <t>Điểm 1 câu nối cột</t>
  </si>
  <si>
    <t>Điểm 1 câu điền khuyết</t>
  </si>
  <si>
    <t>Điểm 1 câu tự luận</t>
  </si>
  <si>
    <t>Trắc nghiệm</t>
  </si>
  <si>
    <t xml:space="preserve">  + Mức độ đề: 40% Nhận biết; 30% Thông hiểu; 30% Vận dụng;  
  + Nội dung nửa đầu học kì 2: 25% (2,5 điểm).
  + Nội dung nửa sau học kì 2: 75% (7,5 điểm)</t>
  </si>
  <si>
    <t>Nửa đầu học kì</t>
  </si>
  <si>
    <t>Nửa cuối học kì</t>
  </si>
  <si>
    <t>Bài 1: Thông tin và quyết định</t>
  </si>
  <si>
    <t>Bài 2: Dạng thông tin và xử lý thông tin</t>
  </si>
  <si>
    <t>Bài 3: Con người xử lý thông tin</t>
  </si>
  <si>
    <t>Bài 4: Máy xử lý thông tin</t>
  </si>
  <si>
    <t>Bài 5: Làm quen với máy tính</t>
  </si>
  <si>
    <t>Bài 6: Sử dụng chuột máy tính</t>
  </si>
  <si>
    <t>Bài 7: Làm việc với máy tính</t>
  </si>
  <si>
    <t>Bài 8: Điều khiển máy tính</t>
  </si>
  <si>
    <t>Bài 9: An toàn  về điện khi sử dụng máy tính</t>
  </si>
  <si>
    <t>Bài 10: Bàn phím máy tính</t>
  </si>
  <si>
    <t>Bài 11: Cách đặt ngón tay gõ phím</t>
  </si>
  <si>
    <t>Bài 12: Gõ phím với phần mềm</t>
  </si>
  <si>
    <t>Bài 13: Thực hành sử dụng bàn phím</t>
  </si>
  <si>
    <t>Bài 14: Thông tin và chương trình giải trí trên Internet</t>
  </si>
  <si>
    <t>Bài 15: Thông tin tìm được trên Internet</t>
  </si>
  <si>
    <t>Bài 16: Thông tin của em và gia đình trong môi trường số</t>
  </si>
  <si>
    <t>Bài 17: Sắp xếp và tìm kiếm</t>
  </si>
  <si>
    <t>Chủ đề A1: Thông tin và xử lý thông tin</t>
  </si>
  <si>
    <t>Chủ đề A2: Khám phá máy tính</t>
  </si>
  <si>
    <t>Chủ đề A3: Làm quen với bàn phím</t>
  </si>
  <si>
    <t>Chủ đề B: Xem tin và giải trí trên Internet</t>
  </si>
  <si>
    <t>Chủ đề C: Đạo đức, pháp luật và văn hóa trong môi trường số</t>
  </si>
  <si>
    <t>Chủ đề D1: Sắp xếp để dễ tìm kiếm</t>
  </si>
  <si>
    <t>MA TRẬN ĐỀ KIỂM TRA CUỐI HỌC KÌ I MÔN TIN 3</t>
  </si>
  <si>
    <t>Chủ đề A: Máy Tính và em</t>
  </si>
  <si>
    <t>Thông tin và xử lí thông tin</t>
  </si>
  <si>
    <t>Khám phá máy tính</t>
  </si>
  <si>
    <t>Làm quen với cách gõ bàn phím</t>
  </si>
  <si>
    <t>Chủ đề B. Mạng máy tính và Internet</t>
  </si>
  <si>
    <t>Xem tin và giải trí trên trang web</t>
  </si>
  <si>
    <t>Chủ đề C. Tổ chức lưu trữ, tìm kiếm và trao đổi thông tin</t>
  </si>
  <si>
    <t>Sắp xếp để dễ tìm</t>
  </si>
  <si>
    <t>Làm quen với thư mục lưu trữ thông tin trong máy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</si>
</sst>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rgb="FF000000"/>
      </right>
      <top/>
      <bottom style="thin">
        <color rgb="FF000000"/>
      </bottom>
      <diagonal/>
    </border>
    <border>
      <left style="thin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/>
      <right/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FF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/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1" fontId="4" fillId="2" borderId="7" xfId="0" applyNumberFormat="1" applyFont="1" applyFill="1" applyBorder="1" applyAlignment="1">
      <alignment horizontal="center" vertical="center" wrapText="1"/>
    </xf>
    <xf numFmtId="2" fontId="5" fillId="2" borderId="8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0" xfId="0" applyFont="1"/>
    <xf numFmtId="0" fontId="7" fillId="0" borderId="1" xfId="0" applyFont="1" applyBorder="1"/>
    <xf numFmtId="0" fontId="8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7" fillId="0" borderId="0" xfId="0" applyFont="1"/>
    <xf numFmtId="0" fontId="8" fillId="0" borderId="2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1" fontId="4" fillId="2" borderId="22" xfId="0" applyNumberFormat="1" applyFont="1" applyFill="1" applyBorder="1" applyAlignment="1">
      <alignment horizontal="center" vertical="center" wrapText="1"/>
    </xf>
    <xf numFmtId="2" fontId="5" fillId="2" borderId="22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vertical="center" wrapText="1"/>
    </xf>
    <xf numFmtId="1" fontId="4" fillId="0" borderId="24" xfId="0" applyNumberFormat="1" applyFont="1" applyBorder="1" applyAlignment="1">
      <alignment horizontal="center" vertical="center" wrapText="1"/>
    </xf>
    <xf numFmtId="2" fontId="5" fillId="2" borderId="24" xfId="0" applyNumberFormat="1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2" fillId="4" borderId="14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vertical="center" wrapText="1"/>
    </xf>
    <xf numFmtId="0" fontId="2" fillId="4" borderId="25" xfId="0" applyFont="1" applyFill="1" applyBorder="1" applyAlignment="1">
      <alignment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2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7" fillId="0" borderId="19" xfId="0" applyFont="1" applyBorder="1"/>
    <xf numFmtId="0" fontId="3" fillId="0" borderId="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7" fillId="0" borderId="12" xfId="0" applyFont="1" applyBorder="1"/>
    <xf numFmtId="0" fontId="3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7" fillId="0" borderId="18" xfId="0" applyFont="1" applyBorder="1"/>
    <xf numFmtId="0" fontId="2" fillId="0" borderId="8" xfId="0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9" xfId="0" applyFont="1" applyBorder="1"/>
    <xf numFmtId="0" fontId="7" fillId="0" borderId="11" xfId="0" applyFont="1" applyBorder="1"/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4" borderId="25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11" xfId="0" applyFont="1" applyBorder="1"/>
    <xf numFmtId="0" fontId="10" fillId="0" borderId="9" xfId="0" applyFont="1" applyBorder="1"/>
    <xf numFmtId="0" fontId="8" fillId="0" borderId="12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7" fillId="3" borderId="12" xfId="0" applyFont="1" applyFill="1" applyBorder="1"/>
    <xf numFmtId="0" fontId="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1"/>
  <sheetViews>
    <sheetView tabSelected="1" zoomScale="85" zoomScaleNormal="85" workbookViewId="0">
      <selection activeCell="E7" sqref="E7:E15"/>
    </sheetView>
  </sheetViews>
  <sheetFormatPr defaultColWidth="12.5" defaultRowHeight="15" customHeight="1"/>
  <cols>
    <col min="1" max="1" width="5" style="6" customWidth="1"/>
    <col min="2" max="2" width="15.875" style="6" customWidth="1"/>
    <col min="3" max="3" width="26.25" style="6" customWidth="1"/>
    <col min="4" max="5" width="6.5" style="6" customWidth="1"/>
    <col min="6" max="6" width="8.875" style="6" customWidth="1"/>
    <col min="7" max="21" width="5" style="6" customWidth="1"/>
    <col min="22" max="22" width="5.625" style="6" customWidth="1"/>
    <col min="23" max="23" width="6.125" style="6" customWidth="1"/>
    <col min="24" max="27" width="8.625" style="6" customWidth="1"/>
    <col min="28" max="16384" width="12.5" style="6"/>
  </cols>
  <sheetData>
    <row r="1" spans="1:24" ht="15.75"/>
    <row r="2" spans="1:24" ht="26.25" customHeight="1">
      <c r="C2" s="73" t="s">
        <v>53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1"/>
    </row>
    <row r="3" spans="1:24" ht="60" customHeight="1">
      <c r="B3" s="81" t="s">
        <v>27</v>
      </c>
      <c r="C3" s="81"/>
      <c r="D3" s="81"/>
      <c r="E3" s="81"/>
      <c r="F3" s="7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7"/>
      <c r="W3" s="2"/>
    </row>
    <row r="4" spans="1:24" ht="15.6" customHeight="1">
      <c r="A4" s="75" t="s">
        <v>0</v>
      </c>
      <c r="B4" s="78" t="s">
        <v>1</v>
      </c>
      <c r="C4" s="78" t="s">
        <v>2</v>
      </c>
      <c r="D4" s="78" t="s">
        <v>3</v>
      </c>
      <c r="E4" s="78" t="s">
        <v>4</v>
      </c>
      <c r="F4" s="85" t="s">
        <v>5</v>
      </c>
      <c r="G4" s="82" t="s">
        <v>26</v>
      </c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 t="s">
        <v>11</v>
      </c>
      <c r="T4" s="82"/>
      <c r="U4" s="82"/>
      <c r="V4" s="79" t="s">
        <v>7</v>
      </c>
      <c r="W4" s="78" t="s">
        <v>8</v>
      </c>
    </row>
    <row r="5" spans="1:24" ht="19.5" customHeight="1">
      <c r="A5" s="76"/>
      <c r="B5" s="76"/>
      <c r="C5" s="76"/>
      <c r="D5" s="76"/>
      <c r="E5" s="76"/>
      <c r="F5" s="86"/>
      <c r="G5" s="104" t="s">
        <v>9</v>
      </c>
      <c r="H5" s="83"/>
      <c r="I5" s="83"/>
      <c r="J5" s="105" t="s">
        <v>10</v>
      </c>
      <c r="K5" s="106"/>
      <c r="L5" s="106"/>
      <c r="M5" s="82" t="s">
        <v>19</v>
      </c>
      <c r="N5" s="82"/>
      <c r="O5" s="82"/>
      <c r="P5" s="105" t="s">
        <v>20</v>
      </c>
      <c r="Q5" s="106"/>
      <c r="R5" s="106"/>
      <c r="S5" s="82"/>
      <c r="T5" s="82"/>
      <c r="U5" s="82"/>
      <c r="V5" s="80"/>
      <c r="W5" s="76"/>
    </row>
    <row r="6" spans="1:24" ht="21" customHeight="1">
      <c r="A6" s="77"/>
      <c r="B6" s="76"/>
      <c r="C6" s="77"/>
      <c r="D6" s="76"/>
      <c r="E6" s="77"/>
      <c r="F6" s="76"/>
      <c r="G6" s="20" t="s">
        <v>12</v>
      </c>
      <c r="H6" s="21" t="s">
        <v>13</v>
      </c>
      <c r="I6" s="21" t="s">
        <v>14</v>
      </c>
      <c r="J6" s="22" t="s">
        <v>12</v>
      </c>
      <c r="K6" s="23" t="s">
        <v>13</v>
      </c>
      <c r="L6" s="23" t="s">
        <v>14</v>
      </c>
      <c r="M6" s="24" t="s">
        <v>12</v>
      </c>
      <c r="N6" s="21" t="s">
        <v>13</v>
      </c>
      <c r="O6" s="21" t="s">
        <v>14</v>
      </c>
      <c r="P6" s="25" t="s">
        <v>12</v>
      </c>
      <c r="Q6" s="26" t="s">
        <v>13</v>
      </c>
      <c r="R6" s="26" t="s">
        <v>14</v>
      </c>
      <c r="S6" s="24" t="s">
        <v>12</v>
      </c>
      <c r="T6" s="21" t="s">
        <v>13</v>
      </c>
      <c r="U6" s="21" t="s">
        <v>14</v>
      </c>
      <c r="V6" s="77"/>
      <c r="W6" s="77"/>
    </row>
    <row r="7" spans="1:24" ht="41.25" customHeight="1">
      <c r="A7" s="9">
        <v>1</v>
      </c>
      <c r="B7" s="91" t="s">
        <v>47</v>
      </c>
      <c r="C7" s="28" t="s">
        <v>30</v>
      </c>
      <c r="D7" s="29">
        <v>1</v>
      </c>
      <c r="E7" s="44">
        <f>D7*100/SUM($D$7:$D$15)</f>
        <v>11.111111111111111</v>
      </c>
      <c r="F7" s="4">
        <f>E7*2.5/100</f>
        <v>0.27777777777777779</v>
      </c>
      <c r="G7" s="10"/>
      <c r="H7" s="11"/>
      <c r="I7" s="11"/>
      <c r="J7" s="12"/>
      <c r="K7" s="13"/>
      <c r="L7" s="13"/>
      <c r="M7" s="14"/>
      <c r="N7" s="14"/>
      <c r="O7" s="14"/>
      <c r="P7" s="12"/>
      <c r="Q7" s="13"/>
      <c r="R7" s="13"/>
      <c r="S7" s="15"/>
      <c r="T7" s="11"/>
      <c r="U7" s="11"/>
      <c r="V7" s="16">
        <f>SUM(G7:U7)</f>
        <v>0</v>
      </c>
      <c r="W7" s="30">
        <f t="shared" ref="W7:W23" si="0">SUM(G7:I7)*$D$28+SUM(J7:L7)*$D$29+SUM(M7:O7)*$D$30+SUM(P7:R7)*$D$31+SUM(S7:U7)*$D$32</f>
        <v>0</v>
      </c>
      <c r="X7" s="69" t="s">
        <v>28</v>
      </c>
    </row>
    <row r="8" spans="1:24" ht="41.25" customHeight="1">
      <c r="A8" s="9">
        <v>2</v>
      </c>
      <c r="B8" s="92"/>
      <c r="C8" s="28" t="s">
        <v>31</v>
      </c>
      <c r="D8" s="29">
        <v>1</v>
      </c>
      <c r="E8" s="44">
        <f t="shared" ref="E8:E15" si="1">D8*100/SUM($D$7:$D$15)</f>
        <v>11.111111111111111</v>
      </c>
      <c r="F8" s="4">
        <f t="shared" ref="F8:F15" si="2">E8*2.5/100</f>
        <v>0.27777777777777779</v>
      </c>
      <c r="G8" s="10">
        <v>1</v>
      </c>
      <c r="H8" s="11"/>
      <c r="I8" s="11"/>
      <c r="J8" s="12"/>
      <c r="K8" s="13"/>
      <c r="L8" s="13"/>
      <c r="M8" s="14"/>
      <c r="N8" s="14"/>
      <c r="O8" s="14"/>
      <c r="P8" s="12"/>
      <c r="Q8" s="13"/>
      <c r="R8" s="13"/>
      <c r="S8" s="15"/>
      <c r="T8" s="11"/>
      <c r="U8" s="11"/>
      <c r="V8" s="16">
        <f t="shared" ref="V8:V23" si="3">SUM(G8:U8)</f>
        <v>1</v>
      </c>
      <c r="W8" s="30">
        <f t="shared" si="0"/>
        <v>0.5</v>
      </c>
      <c r="X8" s="69"/>
    </row>
    <row r="9" spans="1:24" ht="41.25" customHeight="1">
      <c r="A9" s="9">
        <v>3</v>
      </c>
      <c r="B9" s="92"/>
      <c r="C9" s="28" t="s">
        <v>32</v>
      </c>
      <c r="D9" s="29">
        <v>1</v>
      </c>
      <c r="E9" s="44">
        <f t="shared" si="1"/>
        <v>11.111111111111111</v>
      </c>
      <c r="F9" s="4">
        <f t="shared" si="2"/>
        <v>0.27777777777777779</v>
      </c>
      <c r="G9" s="10"/>
      <c r="H9" s="11"/>
      <c r="I9" s="11"/>
      <c r="J9" s="12"/>
      <c r="K9" s="13"/>
      <c r="L9" s="13"/>
      <c r="M9" s="14"/>
      <c r="N9" s="14"/>
      <c r="O9" s="14"/>
      <c r="P9" s="12"/>
      <c r="Q9" s="13"/>
      <c r="R9" s="13"/>
      <c r="S9" s="15"/>
      <c r="T9" s="11"/>
      <c r="U9" s="11"/>
      <c r="V9" s="16">
        <f t="shared" si="3"/>
        <v>0</v>
      </c>
      <c r="W9" s="30">
        <f t="shared" si="0"/>
        <v>0</v>
      </c>
      <c r="X9" s="69"/>
    </row>
    <row r="10" spans="1:24" ht="41.25" customHeight="1">
      <c r="A10" s="9">
        <v>4</v>
      </c>
      <c r="B10" s="93"/>
      <c r="C10" s="28" t="s">
        <v>33</v>
      </c>
      <c r="D10" s="29">
        <v>1</v>
      </c>
      <c r="E10" s="44">
        <f t="shared" si="1"/>
        <v>11.111111111111111</v>
      </c>
      <c r="F10" s="4">
        <f t="shared" si="2"/>
        <v>0.27777777777777779</v>
      </c>
      <c r="G10" s="10"/>
      <c r="H10" s="11"/>
      <c r="I10" s="11"/>
      <c r="J10" s="12"/>
      <c r="K10" s="13"/>
      <c r="L10" s="13"/>
      <c r="M10" s="14"/>
      <c r="N10" s="14"/>
      <c r="O10" s="14"/>
      <c r="P10" s="12"/>
      <c r="Q10" s="13"/>
      <c r="R10" s="13"/>
      <c r="S10" s="15"/>
      <c r="T10" s="11"/>
      <c r="U10" s="11"/>
      <c r="V10" s="16">
        <f t="shared" si="3"/>
        <v>0</v>
      </c>
      <c r="W10" s="30">
        <f t="shared" si="0"/>
        <v>0</v>
      </c>
      <c r="X10" s="69"/>
    </row>
    <row r="11" spans="1:24" ht="41.25" customHeight="1">
      <c r="A11" s="9">
        <v>5</v>
      </c>
      <c r="B11" s="91" t="s">
        <v>48</v>
      </c>
      <c r="C11" s="28" t="s">
        <v>34</v>
      </c>
      <c r="D11" s="29">
        <v>1</v>
      </c>
      <c r="E11" s="44">
        <f t="shared" si="1"/>
        <v>11.111111111111111</v>
      </c>
      <c r="F11" s="4">
        <f t="shared" si="2"/>
        <v>0.27777777777777779</v>
      </c>
      <c r="G11" s="10"/>
      <c r="H11" s="11"/>
      <c r="I11" s="11"/>
      <c r="J11" s="12"/>
      <c r="K11" s="13"/>
      <c r="L11" s="13"/>
      <c r="M11" s="14"/>
      <c r="N11" s="14"/>
      <c r="O11" s="14"/>
      <c r="P11" s="12"/>
      <c r="Q11" s="13"/>
      <c r="R11" s="13"/>
      <c r="S11" s="15"/>
      <c r="T11" s="11"/>
      <c r="U11" s="11"/>
      <c r="V11" s="16">
        <f t="shared" si="3"/>
        <v>0</v>
      </c>
      <c r="W11" s="30">
        <f t="shared" si="0"/>
        <v>0</v>
      </c>
      <c r="X11" s="69"/>
    </row>
    <row r="12" spans="1:24" ht="41.25" customHeight="1">
      <c r="A12" s="9">
        <v>6</v>
      </c>
      <c r="B12" s="92"/>
      <c r="C12" s="28" t="s">
        <v>35</v>
      </c>
      <c r="D12" s="29">
        <v>1</v>
      </c>
      <c r="E12" s="44">
        <f t="shared" si="1"/>
        <v>11.111111111111111</v>
      </c>
      <c r="F12" s="4">
        <f t="shared" si="2"/>
        <v>0.27777777777777779</v>
      </c>
      <c r="G12" s="10"/>
      <c r="H12" s="11"/>
      <c r="I12" s="11">
        <v>1</v>
      </c>
      <c r="J12" s="12"/>
      <c r="K12" s="13"/>
      <c r="L12" s="13"/>
      <c r="M12" s="14"/>
      <c r="N12" s="14"/>
      <c r="O12" s="14"/>
      <c r="P12" s="12"/>
      <c r="Q12" s="13"/>
      <c r="R12" s="13"/>
      <c r="S12" s="15"/>
      <c r="T12" s="11"/>
      <c r="U12" s="11"/>
      <c r="V12" s="16">
        <f t="shared" si="3"/>
        <v>1</v>
      </c>
      <c r="W12" s="30">
        <f t="shared" si="0"/>
        <v>0.5</v>
      </c>
      <c r="X12" s="69"/>
    </row>
    <row r="13" spans="1:24" ht="41.25" customHeight="1">
      <c r="A13" s="9">
        <v>7</v>
      </c>
      <c r="B13" s="92"/>
      <c r="C13" s="28" t="s">
        <v>36</v>
      </c>
      <c r="D13" s="29">
        <v>1</v>
      </c>
      <c r="E13" s="44">
        <f t="shared" si="1"/>
        <v>11.111111111111111</v>
      </c>
      <c r="F13" s="4">
        <f t="shared" si="2"/>
        <v>0.27777777777777779</v>
      </c>
      <c r="G13" s="10"/>
      <c r="H13" s="11"/>
      <c r="I13" s="11"/>
      <c r="J13" s="12"/>
      <c r="K13" s="13"/>
      <c r="L13" s="13"/>
      <c r="M13" s="14"/>
      <c r="N13" s="14"/>
      <c r="O13" s="14"/>
      <c r="P13" s="12"/>
      <c r="Q13" s="13"/>
      <c r="R13" s="13"/>
      <c r="S13" s="15"/>
      <c r="T13" s="11"/>
      <c r="U13" s="11"/>
      <c r="V13" s="16">
        <f t="shared" si="3"/>
        <v>0</v>
      </c>
      <c r="W13" s="30">
        <f t="shared" si="0"/>
        <v>0</v>
      </c>
      <c r="X13" s="69"/>
    </row>
    <row r="14" spans="1:24" ht="41.25" customHeight="1">
      <c r="A14" s="9">
        <v>8</v>
      </c>
      <c r="B14" s="92"/>
      <c r="C14" s="28" t="s">
        <v>37</v>
      </c>
      <c r="D14" s="29">
        <v>1</v>
      </c>
      <c r="E14" s="44">
        <f t="shared" si="1"/>
        <v>11.111111111111111</v>
      </c>
      <c r="F14" s="4">
        <f t="shared" si="2"/>
        <v>0.27777777777777779</v>
      </c>
      <c r="G14" s="10"/>
      <c r="H14" s="11"/>
      <c r="I14" s="11"/>
      <c r="J14" s="12"/>
      <c r="K14" s="13"/>
      <c r="L14" s="13"/>
      <c r="M14" s="14"/>
      <c r="N14" s="14"/>
      <c r="O14" s="14"/>
      <c r="P14" s="12"/>
      <c r="Q14" s="13"/>
      <c r="R14" s="13"/>
      <c r="S14" s="15"/>
      <c r="T14" s="11">
        <v>1</v>
      </c>
      <c r="U14" s="11"/>
      <c r="V14" s="16">
        <f t="shared" si="3"/>
        <v>1</v>
      </c>
      <c r="W14" s="30">
        <f t="shared" si="0"/>
        <v>1</v>
      </c>
      <c r="X14" s="69"/>
    </row>
    <row r="15" spans="1:24" ht="41.25" customHeight="1" thickBot="1">
      <c r="A15" s="9">
        <v>9</v>
      </c>
      <c r="B15" s="100"/>
      <c r="C15" s="46" t="s">
        <v>38</v>
      </c>
      <c r="D15" s="57">
        <v>1</v>
      </c>
      <c r="E15" s="47">
        <f t="shared" si="1"/>
        <v>11.111111111111111</v>
      </c>
      <c r="F15" s="48">
        <f t="shared" si="2"/>
        <v>0.27777777777777779</v>
      </c>
      <c r="G15" s="49">
        <v>1</v>
      </c>
      <c r="H15" s="50"/>
      <c r="I15" s="50"/>
      <c r="J15" s="51"/>
      <c r="K15" s="52"/>
      <c r="L15" s="52"/>
      <c r="M15" s="53"/>
      <c r="N15" s="53"/>
      <c r="O15" s="53"/>
      <c r="P15" s="51"/>
      <c r="Q15" s="52"/>
      <c r="R15" s="52"/>
      <c r="S15" s="54"/>
      <c r="T15" s="50"/>
      <c r="U15" s="50"/>
      <c r="V15" s="55">
        <f t="shared" si="3"/>
        <v>1</v>
      </c>
      <c r="W15" s="56">
        <f t="shared" si="0"/>
        <v>0.5</v>
      </c>
      <c r="X15" s="70"/>
    </row>
    <row r="16" spans="1:24" ht="41.25" customHeight="1" thickTop="1">
      <c r="A16" s="9">
        <v>10</v>
      </c>
      <c r="B16" s="94" t="s">
        <v>49</v>
      </c>
      <c r="C16" s="32" t="s">
        <v>39</v>
      </c>
      <c r="D16" s="33">
        <v>1</v>
      </c>
      <c r="E16" s="34">
        <f t="shared" ref="E16:E23" si="4">D16*100/SUM($D$16:$D$23)</f>
        <v>12.5</v>
      </c>
      <c r="F16" s="35">
        <f>E16*7.5/100</f>
        <v>0.9375</v>
      </c>
      <c r="G16" s="36"/>
      <c r="H16" s="37">
        <v>1</v>
      </c>
      <c r="I16" s="37"/>
      <c r="J16" s="38"/>
      <c r="K16" s="39"/>
      <c r="L16" s="39"/>
      <c r="M16" s="40"/>
      <c r="N16" s="40"/>
      <c r="O16" s="40"/>
      <c r="P16" s="38"/>
      <c r="Q16" s="39"/>
      <c r="R16" s="39"/>
      <c r="S16" s="41"/>
      <c r="T16" s="37"/>
      <c r="U16" s="37">
        <v>1</v>
      </c>
      <c r="V16" s="42">
        <f t="shared" si="3"/>
        <v>2</v>
      </c>
      <c r="W16" s="43">
        <f t="shared" si="0"/>
        <v>1.5</v>
      </c>
      <c r="X16" s="71" t="s">
        <v>29</v>
      </c>
    </row>
    <row r="17" spans="1:24" ht="41.25" customHeight="1">
      <c r="A17" s="9">
        <v>11</v>
      </c>
      <c r="B17" s="94"/>
      <c r="C17" s="28" t="s">
        <v>40</v>
      </c>
      <c r="D17" s="29">
        <v>1</v>
      </c>
      <c r="E17" s="3">
        <f t="shared" si="4"/>
        <v>12.5</v>
      </c>
      <c r="F17" s="4">
        <f>E17*7.5/100</f>
        <v>0.9375</v>
      </c>
      <c r="G17" s="10">
        <v>1</v>
      </c>
      <c r="H17" s="11"/>
      <c r="I17" s="11">
        <v>1</v>
      </c>
      <c r="J17" s="12"/>
      <c r="K17" s="13"/>
      <c r="L17" s="13"/>
      <c r="M17" s="14"/>
      <c r="N17" s="14"/>
      <c r="O17" s="14"/>
      <c r="P17" s="12"/>
      <c r="Q17" s="13">
        <v>1</v>
      </c>
      <c r="R17" s="13"/>
      <c r="S17" s="15"/>
      <c r="T17" s="11"/>
      <c r="U17" s="11"/>
      <c r="V17" s="16">
        <f t="shared" si="3"/>
        <v>3</v>
      </c>
      <c r="W17" s="30">
        <f t="shared" si="0"/>
        <v>2</v>
      </c>
      <c r="X17" s="72"/>
    </row>
    <row r="18" spans="1:24" ht="41.25" customHeight="1">
      <c r="A18" s="9">
        <v>12</v>
      </c>
      <c r="B18" s="94"/>
      <c r="C18" s="28" t="s">
        <v>41</v>
      </c>
      <c r="D18" s="29">
        <v>1</v>
      </c>
      <c r="E18" s="3">
        <f t="shared" si="4"/>
        <v>12.5</v>
      </c>
      <c r="F18" s="4">
        <f t="shared" ref="F18:F23" si="5">E18*7.5/100</f>
        <v>0.9375</v>
      </c>
      <c r="G18" s="10">
        <v>1</v>
      </c>
      <c r="H18" s="11"/>
      <c r="I18" s="11"/>
      <c r="J18" s="12"/>
      <c r="K18" s="13"/>
      <c r="L18" s="13"/>
      <c r="M18" s="14"/>
      <c r="N18" s="14"/>
      <c r="O18" s="14"/>
      <c r="P18" s="12"/>
      <c r="Q18" s="13"/>
      <c r="R18" s="13"/>
      <c r="S18" s="15"/>
      <c r="T18" s="11"/>
      <c r="U18" s="11"/>
      <c r="V18" s="16">
        <f t="shared" si="3"/>
        <v>1</v>
      </c>
      <c r="W18" s="30">
        <f t="shared" si="0"/>
        <v>0.5</v>
      </c>
      <c r="X18" s="72"/>
    </row>
    <row r="19" spans="1:24" ht="41.25" customHeight="1">
      <c r="A19" s="9">
        <v>13</v>
      </c>
      <c r="B19" s="95"/>
      <c r="C19" s="28" t="s">
        <v>42</v>
      </c>
      <c r="D19" s="29">
        <v>1</v>
      </c>
      <c r="E19" s="3">
        <f t="shared" si="4"/>
        <v>12.5</v>
      </c>
      <c r="F19" s="4">
        <f t="shared" si="5"/>
        <v>0.9375</v>
      </c>
      <c r="G19" s="10"/>
      <c r="H19" s="11"/>
      <c r="I19" s="11"/>
      <c r="J19" s="12"/>
      <c r="K19" s="13"/>
      <c r="L19" s="13"/>
      <c r="M19" s="14"/>
      <c r="N19" s="14"/>
      <c r="O19" s="14"/>
      <c r="P19" s="12"/>
      <c r="Q19" s="13"/>
      <c r="R19" s="13"/>
      <c r="S19" s="15"/>
      <c r="T19" s="11"/>
      <c r="U19" s="11">
        <v>1</v>
      </c>
      <c r="V19" s="16">
        <f t="shared" si="3"/>
        <v>1</v>
      </c>
      <c r="W19" s="30">
        <f t="shared" si="0"/>
        <v>1</v>
      </c>
      <c r="X19" s="72"/>
    </row>
    <row r="20" spans="1:24" ht="41.25" customHeight="1">
      <c r="A20" s="9">
        <v>14</v>
      </c>
      <c r="B20" s="107" t="s">
        <v>50</v>
      </c>
      <c r="C20" s="28" t="s">
        <v>43</v>
      </c>
      <c r="D20" s="29">
        <v>1</v>
      </c>
      <c r="E20" s="3">
        <f t="shared" si="4"/>
        <v>12.5</v>
      </c>
      <c r="F20" s="4">
        <f t="shared" ref="F20:F22" si="6">E20*7.5/100</f>
        <v>0.9375</v>
      </c>
      <c r="G20" s="10">
        <v>1</v>
      </c>
      <c r="H20" s="11"/>
      <c r="I20" s="11"/>
      <c r="J20" s="12"/>
      <c r="K20" s="13"/>
      <c r="L20" s="13"/>
      <c r="M20" s="14"/>
      <c r="N20" s="14"/>
      <c r="O20" s="14"/>
      <c r="P20" s="12"/>
      <c r="Q20" s="13"/>
      <c r="R20" s="13"/>
      <c r="S20" s="15"/>
      <c r="T20" s="11"/>
      <c r="U20" s="11"/>
      <c r="V20" s="16">
        <f t="shared" ref="V20:V22" si="7">SUM(G20:U20)</f>
        <v>1</v>
      </c>
      <c r="W20" s="30">
        <f t="shared" si="0"/>
        <v>0.5</v>
      </c>
      <c r="X20" s="72"/>
    </row>
    <row r="21" spans="1:24" ht="41.25" customHeight="1">
      <c r="A21" s="9">
        <v>15</v>
      </c>
      <c r="B21" s="94"/>
      <c r="C21" s="28" t="s">
        <v>44</v>
      </c>
      <c r="D21" s="29">
        <v>1</v>
      </c>
      <c r="E21" s="3">
        <f t="shared" si="4"/>
        <v>12.5</v>
      </c>
      <c r="F21" s="4">
        <f t="shared" si="6"/>
        <v>0.9375</v>
      </c>
      <c r="G21" s="10">
        <v>1</v>
      </c>
      <c r="H21" s="11"/>
      <c r="I21" s="11"/>
      <c r="J21" s="12"/>
      <c r="K21" s="13"/>
      <c r="L21" s="13"/>
      <c r="M21" s="14"/>
      <c r="N21" s="14"/>
      <c r="O21" s="14"/>
      <c r="P21" s="12"/>
      <c r="Q21" s="13"/>
      <c r="R21" s="13"/>
      <c r="S21" s="15"/>
      <c r="T21" s="11"/>
      <c r="U21" s="11"/>
      <c r="V21" s="16">
        <f t="shared" si="7"/>
        <v>1</v>
      </c>
      <c r="W21" s="30">
        <f t="shared" si="0"/>
        <v>0.5</v>
      </c>
      <c r="X21" s="72"/>
    </row>
    <row r="22" spans="1:24" ht="41.25" customHeight="1">
      <c r="A22" s="9">
        <v>16</v>
      </c>
      <c r="B22" s="27" t="s">
        <v>51</v>
      </c>
      <c r="C22" s="28" t="s">
        <v>45</v>
      </c>
      <c r="D22" s="29">
        <v>1</v>
      </c>
      <c r="E22" s="3">
        <f t="shared" si="4"/>
        <v>12.5</v>
      </c>
      <c r="F22" s="4">
        <f t="shared" si="6"/>
        <v>0.9375</v>
      </c>
      <c r="G22" s="10">
        <v>1</v>
      </c>
      <c r="H22" s="11">
        <v>1</v>
      </c>
      <c r="I22" s="11"/>
      <c r="J22" s="12"/>
      <c r="K22" s="13"/>
      <c r="L22" s="13"/>
      <c r="M22" s="14"/>
      <c r="N22" s="14"/>
      <c r="O22" s="14"/>
      <c r="P22" s="12"/>
      <c r="Q22" s="13"/>
      <c r="R22" s="13"/>
      <c r="S22" s="15"/>
      <c r="T22" s="11"/>
      <c r="U22" s="11"/>
      <c r="V22" s="16">
        <f t="shared" si="7"/>
        <v>2</v>
      </c>
      <c r="W22" s="30">
        <f t="shared" si="0"/>
        <v>1</v>
      </c>
      <c r="X22" s="72"/>
    </row>
    <row r="23" spans="1:24" ht="47.25">
      <c r="A23" s="9">
        <v>17</v>
      </c>
      <c r="B23" s="58" t="s">
        <v>52</v>
      </c>
      <c r="C23" s="28" t="s">
        <v>46</v>
      </c>
      <c r="D23" s="29">
        <v>1</v>
      </c>
      <c r="E23" s="3">
        <f t="shared" si="4"/>
        <v>12.5</v>
      </c>
      <c r="F23" s="4">
        <f t="shared" si="5"/>
        <v>0.9375</v>
      </c>
      <c r="G23" s="10">
        <v>1</v>
      </c>
      <c r="H23" s="11"/>
      <c r="I23" s="11"/>
      <c r="J23" s="12"/>
      <c r="K23" s="13"/>
      <c r="L23" s="13"/>
      <c r="M23" s="14"/>
      <c r="N23" s="14"/>
      <c r="O23" s="14"/>
      <c r="P23" s="12"/>
      <c r="Q23" s="13"/>
      <c r="R23" s="13"/>
      <c r="S23" s="15"/>
      <c r="T23" s="11"/>
      <c r="U23" s="11"/>
      <c r="V23" s="16">
        <f t="shared" si="3"/>
        <v>1</v>
      </c>
      <c r="W23" s="30">
        <f t="shared" si="0"/>
        <v>0.5</v>
      </c>
      <c r="X23" s="72"/>
    </row>
    <row r="24" spans="1:24" ht="18.75" customHeight="1">
      <c r="A24" s="87" t="s">
        <v>15</v>
      </c>
      <c r="B24" s="88"/>
      <c r="C24" s="89"/>
      <c r="D24" s="5">
        <f>SUM(D7:D23)</f>
        <v>17</v>
      </c>
      <c r="E24" s="17">
        <f>SUM(E7:E23)/2</f>
        <v>100</v>
      </c>
      <c r="F24" s="18">
        <f t="shared" ref="F24:W24" si="8">SUM(F7:F23)</f>
        <v>10</v>
      </c>
      <c r="G24" s="8">
        <f t="shared" si="8"/>
        <v>8</v>
      </c>
      <c r="H24" s="8">
        <f t="shared" si="8"/>
        <v>2</v>
      </c>
      <c r="I24" s="8">
        <f t="shared" si="8"/>
        <v>2</v>
      </c>
      <c r="J24" s="8">
        <f t="shared" si="8"/>
        <v>0</v>
      </c>
      <c r="K24" s="8">
        <f t="shared" si="8"/>
        <v>0</v>
      </c>
      <c r="L24" s="8">
        <f t="shared" si="8"/>
        <v>0</v>
      </c>
      <c r="M24" s="8">
        <f t="shared" si="8"/>
        <v>0</v>
      </c>
      <c r="N24" s="8">
        <f t="shared" si="8"/>
        <v>0</v>
      </c>
      <c r="O24" s="8">
        <f t="shared" si="8"/>
        <v>0</v>
      </c>
      <c r="P24" s="8">
        <f t="shared" si="8"/>
        <v>0</v>
      </c>
      <c r="Q24" s="8">
        <f t="shared" si="8"/>
        <v>1</v>
      </c>
      <c r="R24" s="8">
        <f t="shared" si="8"/>
        <v>0</v>
      </c>
      <c r="S24" s="8">
        <f t="shared" si="8"/>
        <v>0</v>
      </c>
      <c r="T24" s="8">
        <f t="shared" si="8"/>
        <v>1</v>
      </c>
      <c r="U24" s="8">
        <f t="shared" si="8"/>
        <v>2</v>
      </c>
      <c r="V24" s="5">
        <f t="shared" si="8"/>
        <v>16</v>
      </c>
      <c r="W24" s="96">
        <f t="shared" si="8"/>
        <v>10</v>
      </c>
    </row>
    <row r="25" spans="1:24" ht="18.75" customHeight="1">
      <c r="A25" s="87" t="s">
        <v>16</v>
      </c>
      <c r="B25" s="90"/>
      <c r="C25" s="90"/>
      <c r="D25" s="90"/>
      <c r="E25" s="90"/>
      <c r="F25" s="89"/>
      <c r="G25" s="8">
        <f>G24*$D$28</f>
        <v>4</v>
      </c>
      <c r="H25" s="8">
        <f t="shared" ref="H25:I25" si="9">H24*$D$28</f>
        <v>1</v>
      </c>
      <c r="I25" s="8">
        <f t="shared" si="9"/>
        <v>1</v>
      </c>
      <c r="J25" s="8">
        <f>J24*$D$29</f>
        <v>0</v>
      </c>
      <c r="K25" s="8">
        <f t="shared" ref="K25:L25" si="10">K24*$D$29</f>
        <v>0</v>
      </c>
      <c r="L25" s="8">
        <f t="shared" si="10"/>
        <v>0</v>
      </c>
      <c r="M25" s="8">
        <f>M24*$D$30</f>
        <v>0</v>
      </c>
      <c r="N25" s="8">
        <f t="shared" ref="N25:O25" si="11">N24*$D$30</f>
        <v>0</v>
      </c>
      <c r="O25" s="8">
        <f t="shared" si="11"/>
        <v>0</v>
      </c>
      <c r="P25" s="8">
        <f>P24*$D$31</f>
        <v>0</v>
      </c>
      <c r="Q25" s="8">
        <f t="shared" ref="Q25:R25" si="12">Q24*$D$31</f>
        <v>1</v>
      </c>
      <c r="R25" s="8">
        <f t="shared" si="12"/>
        <v>0</v>
      </c>
      <c r="S25" s="8">
        <f>S24*$D$32</f>
        <v>0</v>
      </c>
      <c r="T25" s="8">
        <f t="shared" ref="T25:U25" si="13">T24*$D$32</f>
        <v>1</v>
      </c>
      <c r="U25" s="8">
        <f t="shared" si="13"/>
        <v>2</v>
      </c>
      <c r="V25" s="5">
        <f>SUM(G25:U25)</f>
        <v>10</v>
      </c>
      <c r="W25" s="76"/>
    </row>
    <row r="26" spans="1:24" ht="18.75" customHeight="1">
      <c r="A26" s="87" t="s">
        <v>4</v>
      </c>
      <c r="B26" s="90"/>
      <c r="C26" s="90"/>
      <c r="D26" s="90"/>
      <c r="E26" s="90"/>
      <c r="F26" s="89"/>
      <c r="G26" s="101">
        <f>(G24+H24+I24)*$D$28*10</f>
        <v>60</v>
      </c>
      <c r="H26" s="102"/>
      <c r="I26" s="103"/>
      <c r="J26" s="87">
        <f>(J24+K24+L24)*$D$29*10</f>
        <v>0</v>
      </c>
      <c r="K26" s="102"/>
      <c r="L26" s="103"/>
      <c r="M26" s="97">
        <f>(M24+N24+O24)*$D$30*10</f>
        <v>0</v>
      </c>
      <c r="N26" s="98"/>
      <c r="O26" s="99"/>
      <c r="P26" s="87">
        <f>(P24+Q24+R24)*$D$31*10</f>
        <v>10</v>
      </c>
      <c r="Q26" s="102"/>
      <c r="R26" s="103"/>
      <c r="S26" s="87">
        <f>(S24+T24+U24)*$D$32*10</f>
        <v>30</v>
      </c>
      <c r="T26" s="102"/>
      <c r="U26" s="103"/>
      <c r="V26" s="5">
        <f>SUM(G26+J26+P26+S26)</f>
        <v>100</v>
      </c>
      <c r="W26" s="77"/>
    </row>
    <row r="27" spans="1:24" ht="15.75" customHeight="1"/>
    <row r="28" spans="1:24" ht="15.75" customHeight="1">
      <c r="C28" s="6" t="s">
        <v>21</v>
      </c>
      <c r="D28" s="6">
        <v>0.5</v>
      </c>
    </row>
    <row r="29" spans="1:24" ht="15.75" customHeight="1">
      <c r="C29" s="6" t="s">
        <v>22</v>
      </c>
      <c r="D29" s="6">
        <v>0.5</v>
      </c>
    </row>
    <row r="30" spans="1:24" ht="15.75" customHeight="1">
      <c r="C30" s="6" t="s">
        <v>23</v>
      </c>
      <c r="D30" s="6">
        <v>1</v>
      </c>
    </row>
    <row r="31" spans="1:24" ht="15.75" customHeight="1">
      <c r="C31" s="6" t="s">
        <v>24</v>
      </c>
      <c r="D31" s="6">
        <v>1</v>
      </c>
    </row>
    <row r="32" spans="1:24" ht="15.75" customHeight="1">
      <c r="C32" s="6" t="s">
        <v>25</v>
      </c>
      <c r="D32" s="6">
        <v>1</v>
      </c>
    </row>
    <row r="33" spans="3:8" ht="15.75" customHeight="1"/>
    <row r="34" spans="3:8" ht="39" customHeight="1">
      <c r="C34" s="82" t="s">
        <v>6</v>
      </c>
      <c r="D34" s="82"/>
      <c r="E34" s="82"/>
      <c r="F34" s="59" t="s">
        <v>12</v>
      </c>
      <c r="G34" s="59" t="s">
        <v>13</v>
      </c>
      <c r="H34" s="59" t="s">
        <v>14</v>
      </c>
    </row>
    <row r="35" spans="3:8" ht="21.75" customHeight="1">
      <c r="C35" s="72" t="s">
        <v>17</v>
      </c>
      <c r="D35" s="83"/>
      <c r="E35" s="83"/>
      <c r="F35" s="59">
        <f t="shared" ref="F35:H36" si="14">G24+J24+M24+P24+S24</f>
        <v>8</v>
      </c>
      <c r="G35" s="59">
        <f t="shared" si="14"/>
        <v>4</v>
      </c>
      <c r="H35" s="59">
        <f t="shared" si="14"/>
        <v>4</v>
      </c>
    </row>
    <row r="36" spans="3:8" ht="21.75" customHeight="1">
      <c r="C36" s="84" t="s">
        <v>18</v>
      </c>
      <c r="D36" s="83"/>
      <c r="E36" s="83"/>
      <c r="F36" s="60">
        <f t="shared" si="14"/>
        <v>4</v>
      </c>
      <c r="G36" s="60">
        <f t="shared" si="14"/>
        <v>3</v>
      </c>
      <c r="H36" s="60">
        <f t="shared" si="14"/>
        <v>3</v>
      </c>
    </row>
    <row r="37" spans="3:8" ht="15.75" customHeight="1"/>
    <row r="38" spans="3:8" ht="15.75" customHeight="1"/>
    <row r="39" spans="3:8" ht="15.75" customHeight="1"/>
    <row r="40" spans="3:8" ht="15.75" customHeight="1"/>
    <row r="41" spans="3:8" ht="15.75" customHeight="1"/>
    <row r="42" spans="3:8" ht="15.75" customHeight="1"/>
    <row r="43" spans="3:8" ht="15.75" customHeight="1"/>
    <row r="44" spans="3:8" ht="15.75" customHeight="1"/>
    <row r="45" spans="3:8" ht="15.75" customHeight="1"/>
    <row r="46" spans="3:8" ht="15.75" customHeight="1"/>
    <row r="47" spans="3:8" ht="15.75" customHeight="1"/>
    <row r="48" spans="3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4">
    <mergeCell ref="W24:W26"/>
    <mergeCell ref="M5:O5"/>
    <mergeCell ref="M26:O26"/>
    <mergeCell ref="B11:B15"/>
    <mergeCell ref="S4:U5"/>
    <mergeCell ref="G26:I26"/>
    <mergeCell ref="J26:L26"/>
    <mergeCell ref="P26:R26"/>
    <mergeCell ref="S26:U26"/>
    <mergeCell ref="W4:W6"/>
    <mergeCell ref="G5:I5"/>
    <mergeCell ref="J5:L5"/>
    <mergeCell ref="P5:R5"/>
    <mergeCell ref="G4:R4"/>
    <mergeCell ref="B20:B21"/>
    <mergeCell ref="C34:E34"/>
    <mergeCell ref="C35:E35"/>
    <mergeCell ref="C36:E36"/>
    <mergeCell ref="E4:E6"/>
    <mergeCell ref="F4:F6"/>
    <mergeCell ref="A24:C24"/>
    <mergeCell ref="A25:F25"/>
    <mergeCell ref="B7:B10"/>
    <mergeCell ref="A26:F26"/>
    <mergeCell ref="B16:B19"/>
    <mergeCell ref="X7:X15"/>
    <mergeCell ref="X16:X23"/>
    <mergeCell ref="C2:V2"/>
    <mergeCell ref="A4:A6"/>
    <mergeCell ref="B4:B6"/>
    <mergeCell ref="C4:C6"/>
    <mergeCell ref="D4:D6"/>
    <mergeCell ref="V4:V6"/>
    <mergeCell ref="B3:E3"/>
  </mergeCells>
  <phoneticPr fontId="1" type="noConversion"/>
  <pageMargins left="0.32291666666666669" right="0.20833333333333334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1"/>
  <sheetViews>
    <sheetView zoomScale="85" zoomScaleNormal="85" workbookViewId="0">
      <selection activeCell="E7" sqref="E7"/>
    </sheetView>
  </sheetViews>
  <sheetFormatPr defaultColWidth="12.5" defaultRowHeight="15" customHeight="1"/>
  <cols>
    <col min="1" max="1" width="5" style="65" customWidth="1"/>
    <col min="2" max="2" width="15.875" style="65" customWidth="1"/>
    <col min="3" max="3" width="26.25" style="65" customWidth="1"/>
    <col min="4" max="5" width="6.5" style="65" customWidth="1"/>
    <col min="6" max="6" width="8.875" style="65" customWidth="1"/>
    <col min="7" max="21" width="5" style="65" customWidth="1"/>
    <col min="22" max="22" width="5.625" style="65" customWidth="1"/>
    <col min="23" max="23" width="6.125" style="65" customWidth="1"/>
    <col min="24" max="27" width="8.625" style="65" customWidth="1"/>
    <col min="28" max="16384" width="12.5" style="65"/>
  </cols>
  <sheetData>
    <row r="1" spans="1:24" ht="15.75"/>
    <row r="2" spans="1:24" ht="26.25" customHeight="1">
      <c r="C2" s="73" t="s">
        <v>53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64"/>
    </row>
    <row r="3" spans="1:24" ht="76.5" customHeight="1">
      <c r="B3" s="81" t="s">
        <v>27</v>
      </c>
      <c r="C3" s="81"/>
      <c r="D3" s="81"/>
      <c r="E3" s="81"/>
      <c r="F3" s="63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63"/>
      <c r="W3" s="2"/>
    </row>
    <row r="4" spans="1:24" ht="15.6" customHeight="1">
      <c r="A4" s="75" t="s">
        <v>0</v>
      </c>
      <c r="B4" s="78" t="s">
        <v>1</v>
      </c>
      <c r="C4" s="78" t="s">
        <v>2</v>
      </c>
      <c r="D4" s="78" t="s">
        <v>3</v>
      </c>
      <c r="E4" s="78" t="s">
        <v>4</v>
      </c>
      <c r="F4" s="85" t="s">
        <v>5</v>
      </c>
      <c r="G4" s="82" t="s">
        <v>26</v>
      </c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 t="s">
        <v>11</v>
      </c>
      <c r="T4" s="82"/>
      <c r="U4" s="82"/>
      <c r="V4" s="79" t="s">
        <v>7</v>
      </c>
      <c r="W4" s="78" t="s">
        <v>8</v>
      </c>
    </row>
    <row r="5" spans="1:24" ht="19.5" customHeight="1">
      <c r="A5" s="76"/>
      <c r="B5" s="76"/>
      <c r="C5" s="76"/>
      <c r="D5" s="76"/>
      <c r="E5" s="76"/>
      <c r="F5" s="86"/>
      <c r="G5" s="104" t="s">
        <v>9</v>
      </c>
      <c r="H5" s="83"/>
      <c r="I5" s="83"/>
      <c r="J5" s="105" t="s">
        <v>10</v>
      </c>
      <c r="K5" s="106"/>
      <c r="L5" s="106"/>
      <c r="M5" s="82" t="s">
        <v>19</v>
      </c>
      <c r="N5" s="82"/>
      <c r="O5" s="82"/>
      <c r="P5" s="105" t="s">
        <v>20</v>
      </c>
      <c r="Q5" s="106"/>
      <c r="R5" s="106"/>
      <c r="S5" s="82"/>
      <c r="T5" s="82"/>
      <c r="U5" s="82"/>
      <c r="V5" s="80"/>
      <c r="W5" s="76"/>
    </row>
    <row r="6" spans="1:24" ht="21" customHeight="1">
      <c r="A6" s="77"/>
      <c r="B6" s="76"/>
      <c r="C6" s="77"/>
      <c r="D6" s="76"/>
      <c r="E6" s="77"/>
      <c r="F6" s="76"/>
      <c r="G6" s="20" t="s">
        <v>12</v>
      </c>
      <c r="H6" s="21" t="s">
        <v>13</v>
      </c>
      <c r="I6" s="21" t="s">
        <v>14</v>
      </c>
      <c r="J6" s="22" t="s">
        <v>12</v>
      </c>
      <c r="K6" s="23" t="s">
        <v>13</v>
      </c>
      <c r="L6" s="23" t="s">
        <v>14</v>
      </c>
      <c r="M6" s="24" t="s">
        <v>12</v>
      </c>
      <c r="N6" s="21" t="s">
        <v>13</v>
      </c>
      <c r="O6" s="21" t="s">
        <v>14</v>
      </c>
      <c r="P6" s="25" t="s">
        <v>12</v>
      </c>
      <c r="Q6" s="26" t="s">
        <v>13</v>
      </c>
      <c r="R6" s="26" t="s">
        <v>14</v>
      </c>
      <c r="S6" s="24" t="s">
        <v>12</v>
      </c>
      <c r="T6" s="21" t="s">
        <v>13</v>
      </c>
      <c r="U6" s="21" t="s">
        <v>14</v>
      </c>
      <c r="V6" s="77"/>
      <c r="W6" s="77"/>
    </row>
    <row r="7" spans="1:24" ht="56.25" customHeight="1">
      <c r="A7" s="9">
        <v>1</v>
      </c>
      <c r="B7" s="91" t="s">
        <v>54</v>
      </c>
      <c r="C7" s="28" t="s">
        <v>55</v>
      </c>
      <c r="D7" s="29"/>
      <c r="E7" s="44" t="e">
        <f>D7*100/SUM($D$7:$D$15)</f>
        <v>#DIV/0!</v>
      </c>
      <c r="F7" s="4" t="e">
        <f>E7*2.5/100</f>
        <v>#DIV/0!</v>
      </c>
      <c r="G7" s="10"/>
      <c r="H7" s="11"/>
      <c r="I7" s="11"/>
      <c r="J7" s="12"/>
      <c r="K7" s="13"/>
      <c r="L7" s="13"/>
      <c r="M7" s="14"/>
      <c r="N7" s="14"/>
      <c r="O7" s="14"/>
      <c r="P7" s="12"/>
      <c r="Q7" s="13"/>
      <c r="R7" s="13"/>
      <c r="S7" s="15"/>
      <c r="T7" s="11"/>
      <c r="U7" s="11"/>
      <c r="V7" s="16">
        <f>SUM(G7:U7)</f>
        <v>0</v>
      </c>
      <c r="W7" s="30">
        <f t="shared" ref="W7:W23" si="0">SUM(G7:I7)*$D$28+SUM(J7:L7)*$D$29+SUM(M7:O7)*$D$30+SUM(P7:R7)*$D$31+SUM(S7:U7)*$D$32</f>
        <v>0</v>
      </c>
      <c r="X7" s="69" t="s">
        <v>28</v>
      </c>
    </row>
    <row r="8" spans="1:24" ht="41.25" customHeight="1">
      <c r="A8" s="9">
        <v>2</v>
      </c>
      <c r="B8" s="92"/>
      <c r="C8" s="28" t="s">
        <v>56</v>
      </c>
      <c r="D8" s="29"/>
      <c r="E8" s="44" t="e">
        <f t="shared" ref="E8:E15" si="1">D8*100/SUM($D$7:$D$15)</f>
        <v>#DIV/0!</v>
      </c>
      <c r="F8" s="4" t="e">
        <f t="shared" ref="F8:F15" si="2">E8*2.5/100</f>
        <v>#DIV/0!</v>
      </c>
      <c r="G8" s="10"/>
      <c r="H8" s="11"/>
      <c r="I8" s="11"/>
      <c r="J8" s="12"/>
      <c r="K8" s="13"/>
      <c r="L8" s="13"/>
      <c r="M8" s="14"/>
      <c r="N8" s="14"/>
      <c r="O8" s="14"/>
      <c r="P8" s="12"/>
      <c r="Q8" s="13"/>
      <c r="R8" s="13"/>
      <c r="S8" s="15"/>
      <c r="T8" s="11"/>
      <c r="U8" s="11"/>
      <c r="V8" s="16">
        <f t="shared" ref="V8:V23" si="3">SUM(G8:U8)</f>
        <v>0</v>
      </c>
      <c r="W8" s="30">
        <f t="shared" si="0"/>
        <v>0</v>
      </c>
      <c r="X8" s="69"/>
    </row>
    <row r="9" spans="1:24" ht="41.25" customHeight="1">
      <c r="A9" s="9">
        <v>3</v>
      </c>
      <c r="B9" s="92"/>
      <c r="C9" s="28" t="s">
        <v>57</v>
      </c>
      <c r="D9" s="29"/>
      <c r="E9" s="44" t="e">
        <f t="shared" si="1"/>
        <v>#DIV/0!</v>
      </c>
      <c r="F9" s="4" t="e">
        <f t="shared" si="2"/>
        <v>#DIV/0!</v>
      </c>
      <c r="G9" s="10"/>
      <c r="H9" s="11"/>
      <c r="I9" s="11"/>
      <c r="J9" s="12"/>
      <c r="K9" s="13"/>
      <c r="L9" s="13"/>
      <c r="M9" s="14"/>
      <c r="N9" s="14"/>
      <c r="O9" s="14"/>
      <c r="P9" s="12"/>
      <c r="Q9" s="13"/>
      <c r="R9" s="13"/>
      <c r="S9" s="15"/>
      <c r="T9" s="11"/>
      <c r="U9" s="11"/>
      <c r="V9" s="16">
        <f t="shared" si="3"/>
        <v>0</v>
      </c>
      <c r="W9" s="30">
        <f t="shared" si="0"/>
        <v>0</v>
      </c>
      <c r="X9" s="69"/>
    </row>
    <row r="10" spans="1:24" ht="47.25">
      <c r="A10" s="9">
        <v>5</v>
      </c>
      <c r="B10" s="67" t="s">
        <v>58</v>
      </c>
      <c r="C10" s="28" t="s">
        <v>59</v>
      </c>
      <c r="D10" s="29"/>
      <c r="E10" s="44" t="e">
        <f t="shared" si="1"/>
        <v>#DIV/0!</v>
      </c>
      <c r="F10" s="4" t="e">
        <f t="shared" si="2"/>
        <v>#DIV/0!</v>
      </c>
      <c r="G10" s="10"/>
      <c r="H10" s="11"/>
      <c r="I10" s="11"/>
      <c r="J10" s="12"/>
      <c r="K10" s="13"/>
      <c r="L10" s="13"/>
      <c r="M10" s="14"/>
      <c r="N10" s="14"/>
      <c r="O10" s="14"/>
      <c r="P10" s="12"/>
      <c r="Q10" s="13"/>
      <c r="R10" s="13"/>
      <c r="S10" s="15"/>
      <c r="T10" s="11"/>
      <c r="U10" s="11"/>
      <c r="V10" s="16">
        <f t="shared" si="3"/>
        <v>0</v>
      </c>
      <c r="W10" s="30">
        <f t="shared" si="0"/>
        <v>0</v>
      </c>
      <c r="X10" s="69"/>
    </row>
    <row r="11" spans="1:24" ht="41.25" customHeight="1">
      <c r="A11" s="9">
        <v>6</v>
      </c>
      <c r="B11" s="91" t="s">
        <v>60</v>
      </c>
      <c r="C11" s="28" t="s">
        <v>61</v>
      </c>
      <c r="D11" s="29"/>
      <c r="E11" s="44" t="e">
        <f t="shared" si="1"/>
        <v>#DIV/0!</v>
      </c>
      <c r="F11" s="4" t="e">
        <f t="shared" si="2"/>
        <v>#DIV/0!</v>
      </c>
      <c r="G11" s="10"/>
      <c r="H11" s="11"/>
      <c r="I11" s="11"/>
      <c r="J11" s="12"/>
      <c r="K11" s="13"/>
      <c r="L11" s="13"/>
      <c r="M11" s="14"/>
      <c r="N11" s="14"/>
      <c r="O11" s="14"/>
      <c r="P11" s="12"/>
      <c r="Q11" s="13"/>
      <c r="R11" s="13"/>
      <c r="S11" s="15"/>
      <c r="T11" s="11"/>
      <c r="U11" s="11"/>
      <c r="V11" s="16">
        <f t="shared" si="3"/>
        <v>0</v>
      </c>
      <c r="W11" s="30">
        <f t="shared" si="0"/>
        <v>0</v>
      </c>
      <c r="X11" s="69"/>
    </row>
    <row r="12" spans="1:24" ht="41.25" customHeight="1">
      <c r="A12" s="9">
        <v>7</v>
      </c>
      <c r="B12" s="92"/>
      <c r="C12" s="28" t="s">
        <v>62</v>
      </c>
      <c r="D12" s="29"/>
      <c r="E12" s="44" t="e">
        <f t="shared" si="1"/>
        <v>#DIV/0!</v>
      </c>
      <c r="F12" s="4" t="e">
        <f t="shared" si="2"/>
        <v>#DIV/0!</v>
      </c>
      <c r="G12" s="10"/>
      <c r="H12" s="11"/>
      <c r="I12" s="11"/>
      <c r="J12" s="12"/>
      <c r="K12" s="13"/>
      <c r="L12" s="13"/>
      <c r="M12" s="14"/>
      <c r="N12" s="14"/>
      <c r="O12" s="14"/>
      <c r="P12" s="12"/>
      <c r="Q12" s="13"/>
      <c r="R12" s="13"/>
      <c r="S12" s="15"/>
      <c r="T12" s="11"/>
      <c r="U12" s="11"/>
      <c r="V12" s="16">
        <f t="shared" si="3"/>
        <v>0</v>
      </c>
      <c r="W12" s="30">
        <f t="shared" si="0"/>
        <v>0</v>
      </c>
      <c r="X12" s="69"/>
    </row>
    <row r="13" spans="1:24" ht="41.25" customHeight="1">
      <c r="A13" s="9">
        <v>8</v>
      </c>
      <c r="B13" s="66"/>
      <c r="C13" s="28"/>
      <c r="D13" s="29"/>
      <c r="E13" s="44" t="e">
        <f t="shared" si="1"/>
        <v>#DIV/0!</v>
      </c>
      <c r="F13" s="4" t="e">
        <f t="shared" si="2"/>
        <v>#DIV/0!</v>
      </c>
      <c r="G13" s="10"/>
      <c r="H13" s="11"/>
      <c r="I13" s="11"/>
      <c r="J13" s="12"/>
      <c r="K13" s="13"/>
      <c r="L13" s="13"/>
      <c r="M13" s="14"/>
      <c r="N13" s="14"/>
      <c r="O13" s="14"/>
      <c r="P13" s="12"/>
      <c r="Q13" s="13"/>
      <c r="R13" s="13"/>
      <c r="S13" s="15"/>
      <c r="T13" s="11"/>
      <c r="U13" s="11"/>
      <c r="V13" s="16">
        <f t="shared" si="3"/>
        <v>0</v>
      </c>
      <c r="W13" s="30">
        <f t="shared" si="0"/>
        <v>0</v>
      </c>
      <c r="X13" s="69"/>
    </row>
    <row r="14" spans="1:24" ht="41.25" customHeight="1">
      <c r="A14" s="9">
        <v>9</v>
      </c>
      <c r="B14" s="66"/>
      <c r="C14" s="28"/>
      <c r="D14" s="29"/>
      <c r="E14" s="44" t="e">
        <f t="shared" si="1"/>
        <v>#DIV/0!</v>
      </c>
      <c r="F14" s="4" t="e">
        <f t="shared" si="2"/>
        <v>#DIV/0!</v>
      </c>
      <c r="G14" s="10"/>
      <c r="H14" s="11"/>
      <c r="I14" s="11"/>
      <c r="J14" s="12"/>
      <c r="K14" s="13"/>
      <c r="L14" s="13"/>
      <c r="M14" s="14"/>
      <c r="N14" s="14"/>
      <c r="O14" s="14"/>
      <c r="P14" s="12"/>
      <c r="Q14" s="13"/>
      <c r="R14" s="13"/>
      <c r="S14" s="15"/>
      <c r="T14" s="11"/>
      <c r="U14" s="11"/>
      <c r="V14" s="16">
        <f t="shared" si="3"/>
        <v>0</v>
      </c>
      <c r="W14" s="30">
        <f t="shared" si="0"/>
        <v>0</v>
      </c>
      <c r="X14" s="69"/>
    </row>
    <row r="15" spans="1:24" ht="41.25" customHeight="1" thickBot="1">
      <c r="A15" s="45">
        <v>10</v>
      </c>
      <c r="B15" s="68"/>
      <c r="C15" s="46"/>
      <c r="D15" s="57"/>
      <c r="E15" s="47" t="e">
        <f t="shared" si="1"/>
        <v>#DIV/0!</v>
      </c>
      <c r="F15" s="48" t="e">
        <f t="shared" si="2"/>
        <v>#DIV/0!</v>
      </c>
      <c r="G15" s="49"/>
      <c r="H15" s="50"/>
      <c r="I15" s="50"/>
      <c r="J15" s="51"/>
      <c r="K15" s="52"/>
      <c r="L15" s="52"/>
      <c r="M15" s="53"/>
      <c r="N15" s="53"/>
      <c r="O15" s="53"/>
      <c r="P15" s="51"/>
      <c r="Q15" s="52"/>
      <c r="R15" s="52"/>
      <c r="S15" s="54"/>
      <c r="T15" s="50"/>
      <c r="U15" s="50"/>
      <c r="V15" s="55">
        <f t="shared" si="3"/>
        <v>0</v>
      </c>
      <c r="W15" s="56">
        <f t="shared" si="0"/>
        <v>0</v>
      </c>
      <c r="X15" s="70"/>
    </row>
    <row r="16" spans="1:24" ht="41.25" customHeight="1" thickTop="1">
      <c r="A16" s="31">
        <v>11</v>
      </c>
      <c r="B16" s="94" t="s">
        <v>49</v>
      </c>
      <c r="C16" s="32" t="s">
        <v>39</v>
      </c>
      <c r="D16" s="33"/>
      <c r="E16" s="34" t="e">
        <f t="shared" ref="E16:E23" si="4">D16*100/SUM($D$16:$D$23)</f>
        <v>#DIV/0!</v>
      </c>
      <c r="F16" s="35" t="e">
        <f>E16*7.5/100</f>
        <v>#DIV/0!</v>
      </c>
      <c r="G16" s="36"/>
      <c r="H16" s="37"/>
      <c r="I16" s="37"/>
      <c r="J16" s="38"/>
      <c r="K16" s="39"/>
      <c r="L16" s="39"/>
      <c r="M16" s="40"/>
      <c r="N16" s="40"/>
      <c r="O16" s="40"/>
      <c r="P16" s="38"/>
      <c r="Q16" s="39"/>
      <c r="R16" s="39"/>
      <c r="S16" s="41"/>
      <c r="T16" s="37"/>
      <c r="U16" s="37"/>
      <c r="V16" s="42">
        <f t="shared" si="3"/>
        <v>0</v>
      </c>
      <c r="W16" s="43">
        <f t="shared" si="0"/>
        <v>0</v>
      </c>
      <c r="X16" s="71" t="s">
        <v>29</v>
      </c>
    </row>
    <row r="17" spans="1:24" ht="41.25" customHeight="1">
      <c r="A17" s="9">
        <v>12</v>
      </c>
      <c r="B17" s="94"/>
      <c r="C17" s="28" t="s">
        <v>40</v>
      </c>
      <c r="D17" s="29"/>
      <c r="E17" s="3" t="e">
        <f t="shared" si="4"/>
        <v>#DIV/0!</v>
      </c>
      <c r="F17" s="4" t="e">
        <f>E17*7.5/100</f>
        <v>#DIV/0!</v>
      </c>
      <c r="G17" s="10"/>
      <c r="H17" s="11"/>
      <c r="I17" s="11"/>
      <c r="J17" s="12"/>
      <c r="K17" s="13"/>
      <c r="L17" s="13"/>
      <c r="M17" s="14"/>
      <c r="N17" s="14"/>
      <c r="O17" s="14"/>
      <c r="P17" s="12"/>
      <c r="Q17" s="13"/>
      <c r="R17" s="13"/>
      <c r="S17" s="15"/>
      <c r="T17" s="11"/>
      <c r="U17" s="11"/>
      <c r="V17" s="16">
        <f t="shared" si="3"/>
        <v>0</v>
      </c>
      <c r="W17" s="30">
        <f t="shared" si="0"/>
        <v>0</v>
      </c>
      <c r="X17" s="72"/>
    </row>
    <row r="18" spans="1:24" ht="41.25" customHeight="1">
      <c r="A18" s="9">
        <v>13</v>
      </c>
      <c r="B18" s="94"/>
      <c r="C18" s="28" t="s">
        <v>41</v>
      </c>
      <c r="D18" s="29"/>
      <c r="E18" s="3" t="e">
        <f t="shared" si="4"/>
        <v>#DIV/0!</v>
      </c>
      <c r="F18" s="4" t="e">
        <f t="shared" ref="F18:F23" si="5">E18*7.5/100</f>
        <v>#DIV/0!</v>
      </c>
      <c r="G18" s="10"/>
      <c r="H18" s="11"/>
      <c r="I18" s="11"/>
      <c r="J18" s="12"/>
      <c r="K18" s="13"/>
      <c r="L18" s="13"/>
      <c r="M18" s="14"/>
      <c r="N18" s="14"/>
      <c r="O18" s="14"/>
      <c r="P18" s="12"/>
      <c r="Q18" s="13"/>
      <c r="R18" s="13"/>
      <c r="S18" s="15"/>
      <c r="T18" s="11"/>
      <c r="U18" s="11"/>
      <c r="V18" s="16">
        <f t="shared" si="3"/>
        <v>0</v>
      </c>
      <c r="W18" s="30">
        <f t="shared" si="0"/>
        <v>0</v>
      </c>
      <c r="X18" s="72"/>
    </row>
    <row r="19" spans="1:24" ht="41.25" customHeight="1">
      <c r="A19" s="9">
        <v>15</v>
      </c>
      <c r="B19" s="95"/>
      <c r="C19" s="28" t="s">
        <v>42</v>
      </c>
      <c r="D19" s="29"/>
      <c r="E19" s="3" t="e">
        <f t="shared" si="4"/>
        <v>#DIV/0!</v>
      </c>
      <c r="F19" s="4" t="e">
        <f t="shared" si="5"/>
        <v>#DIV/0!</v>
      </c>
      <c r="G19" s="10"/>
      <c r="H19" s="11"/>
      <c r="I19" s="11"/>
      <c r="J19" s="12"/>
      <c r="K19" s="13"/>
      <c r="L19" s="13"/>
      <c r="M19" s="14"/>
      <c r="N19" s="14"/>
      <c r="O19" s="14"/>
      <c r="P19" s="12"/>
      <c r="Q19" s="13"/>
      <c r="R19" s="13"/>
      <c r="S19" s="15"/>
      <c r="T19" s="11"/>
      <c r="U19" s="11"/>
      <c r="V19" s="16">
        <f t="shared" si="3"/>
        <v>0</v>
      </c>
      <c r="W19" s="30">
        <f t="shared" si="0"/>
        <v>0</v>
      </c>
      <c r="X19" s="72"/>
    </row>
    <row r="20" spans="1:24" ht="41.25" customHeight="1">
      <c r="A20" s="9">
        <v>16</v>
      </c>
      <c r="B20" s="107" t="s">
        <v>50</v>
      </c>
      <c r="C20" s="28" t="s">
        <v>43</v>
      </c>
      <c r="D20" s="29"/>
      <c r="E20" s="3" t="e">
        <f t="shared" si="4"/>
        <v>#DIV/0!</v>
      </c>
      <c r="F20" s="4" t="e">
        <f t="shared" si="5"/>
        <v>#DIV/0!</v>
      </c>
      <c r="G20" s="10"/>
      <c r="H20" s="11"/>
      <c r="I20" s="11"/>
      <c r="J20" s="12"/>
      <c r="K20" s="13"/>
      <c r="L20" s="13"/>
      <c r="M20" s="14"/>
      <c r="N20" s="14"/>
      <c r="O20" s="14"/>
      <c r="P20" s="12"/>
      <c r="Q20" s="13"/>
      <c r="R20" s="13"/>
      <c r="S20" s="15"/>
      <c r="T20" s="11"/>
      <c r="U20" s="11"/>
      <c r="V20" s="16">
        <f t="shared" si="3"/>
        <v>0</v>
      </c>
      <c r="W20" s="30">
        <f t="shared" si="0"/>
        <v>0</v>
      </c>
      <c r="X20" s="72"/>
    </row>
    <row r="21" spans="1:24" ht="41.25" customHeight="1">
      <c r="A21" s="9">
        <v>17</v>
      </c>
      <c r="B21" s="94"/>
      <c r="C21" s="28" t="s">
        <v>44</v>
      </c>
      <c r="D21" s="29"/>
      <c r="E21" s="3" t="e">
        <f t="shared" si="4"/>
        <v>#DIV/0!</v>
      </c>
      <c r="F21" s="4" t="e">
        <f t="shared" si="5"/>
        <v>#DIV/0!</v>
      </c>
      <c r="G21" s="10"/>
      <c r="H21" s="11"/>
      <c r="I21" s="11"/>
      <c r="J21" s="12"/>
      <c r="K21" s="13"/>
      <c r="L21" s="13"/>
      <c r="M21" s="14"/>
      <c r="N21" s="14"/>
      <c r="O21" s="14"/>
      <c r="P21" s="12"/>
      <c r="Q21" s="13"/>
      <c r="R21" s="13"/>
      <c r="S21" s="15"/>
      <c r="T21" s="11"/>
      <c r="U21" s="11"/>
      <c r="V21" s="16">
        <f t="shared" si="3"/>
        <v>0</v>
      </c>
      <c r="W21" s="30">
        <f t="shared" si="0"/>
        <v>0</v>
      </c>
      <c r="X21" s="72"/>
    </row>
    <row r="22" spans="1:24" ht="41.25" customHeight="1">
      <c r="A22" s="9">
        <v>16</v>
      </c>
      <c r="B22" s="62" t="s">
        <v>51</v>
      </c>
      <c r="C22" s="28" t="s">
        <v>45</v>
      </c>
      <c r="D22" s="29"/>
      <c r="E22" s="3" t="e">
        <f t="shared" si="4"/>
        <v>#DIV/0!</v>
      </c>
      <c r="F22" s="4" t="e">
        <f t="shared" si="5"/>
        <v>#DIV/0!</v>
      </c>
      <c r="G22" s="10"/>
      <c r="H22" s="11"/>
      <c r="I22" s="11"/>
      <c r="J22" s="12"/>
      <c r="K22" s="13"/>
      <c r="L22" s="13"/>
      <c r="M22" s="14"/>
      <c r="N22" s="14"/>
      <c r="O22" s="14"/>
      <c r="P22" s="12"/>
      <c r="Q22" s="13"/>
      <c r="R22" s="13"/>
      <c r="S22" s="15"/>
      <c r="T22" s="11"/>
      <c r="U22" s="11"/>
      <c r="V22" s="16">
        <f t="shared" si="3"/>
        <v>0</v>
      </c>
      <c r="W22" s="30">
        <f t="shared" si="0"/>
        <v>0</v>
      </c>
      <c r="X22" s="72"/>
    </row>
    <row r="23" spans="1:24" ht="47.25">
      <c r="A23" s="9">
        <v>16</v>
      </c>
      <c r="B23" s="58" t="s">
        <v>52</v>
      </c>
      <c r="C23" s="28" t="s">
        <v>46</v>
      </c>
      <c r="D23" s="29"/>
      <c r="E23" s="3" t="e">
        <f t="shared" si="4"/>
        <v>#DIV/0!</v>
      </c>
      <c r="F23" s="4" t="e">
        <f t="shared" si="5"/>
        <v>#DIV/0!</v>
      </c>
      <c r="G23" s="10"/>
      <c r="H23" s="11"/>
      <c r="I23" s="11"/>
      <c r="J23" s="12"/>
      <c r="K23" s="13"/>
      <c r="L23" s="13"/>
      <c r="M23" s="14"/>
      <c r="N23" s="14"/>
      <c r="O23" s="14"/>
      <c r="P23" s="12"/>
      <c r="Q23" s="13"/>
      <c r="R23" s="13"/>
      <c r="S23" s="15"/>
      <c r="T23" s="11"/>
      <c r="U23" s="11"/>
      <c r="V23" s="16">
        <f t="shared" si="3"/>
        <v>0</v>
      </c>
      <c r="W23" s="30">
        <f t="shared" si="0"/>
        <v>0</v>
      </c>
      <c r="X23" s="72"/>
    </row>
    <row r="24" spans="1:24" ht="18.75" customHeight="1">
      <c r="A24" s="87" t="s">
        <v>15</v>
      </c>
      <c r="B24" s="88"/>
      <c r="C24" s="89"/>
      <c r="D24" s="5">
        <f>SUM(D7:D23)</f>
        <v>0</v>
      </c>
      <c r="E24" s="17" t="e">
        <f>SUM(E7:E23)/2</f>
        <v>#DIV/0!</v>
      </c>
      <c r="F24" s="18" t="e">
        <f t="shared" ref="F24:W24" si="6">SUM(F7:F23)</f>
        <v>#DIV/0!</v>
      </c>
      <c r="G24" s="8">
        <f t="shared" si="6"/>
        <v>0</v>
      </c>
      <c r="H24" s="8">
        <f t="shared" si="6"/>
        <v>0</v>
      </c>
      <c r="I24" s="8">
        <f t="shared" si="6"/>
        <v>0</v>
      </c>
      <c r="J24" s="8">
        <f t="shared" si="6"/>
        <v>0</v>
      </c>
      <c r="K24" s="8">
        <f t="shared" si="6"/>
        <v>0</v>
      </c>
      <c r="L24" s="8">
        <f t="shared" si="6"/>
        <v>0</v>
      </c>
      <c r="M24" s="8">
        <f t="shared" si="6"/>
        <v>0</v>
      </c>
      <c r="N24" s="8">
        <f t="shared" si="6"/>
        <v>0</v>
      </c>
      <c r="O24" s="8">
        <f t="shared" si="6"/>
        <v>0</v>
      </c>
      <c r="P24" s="8">
        <f t="shared" si="6"/>
        <v>0</v>
      </c>
      <c r="Q24" s="8">
        <f t="shared" si="6"/>
        <v>0</v>
      </c>
      <c r="R24" s="8">
        <f t="shared" si="6"/>
        <v>0</v>
      </c>
      <c r="S24" s="8">
        <f t="shared" si="6"/>
        <v>0</v>
      </c>
      <c r="T24" s="8">
        <f t="shared" si="6"/>
        <v>0</v>
      </c>
      <c r="U24" s="8">
        <f t="shared" si="6"/>
        <v>0</v>
      </c>
      <c r="V24" s="5">
        <f t="shared" si="6"/>
        <v>0</v>
      </c>
      <c r="W24" s="96">
        <f t="shared" si="6"/>
        <v>0</v>
      </c>
    </row>
    <row r="25" spans="1:24" ht="18.75" customHeight="1">
      <c r="A25" s="87" t="s">
        <v>16</v>
      </c>
      <c r="B25" s="90"/>
      <c r="C25" s="90"/>
      <c r="D25" s="90"/>
      <c r="E25" s="90"/>
      <c r="F25" s="89"/>
      <c r="G25" s="8">
        <f>G24*$D$28</f>
        <v>0</v>
      </c>
      <c r="H25" s="8">
        <f t="shared" ref="H25:I25" si="7">H24*$D$28</f>
        <v>0</v>
      </c>
      <c r="I25" s="8">
        <f t="shared" si="7"/>
        <v>0</v>
      </c>
      <c r="J25" s="8">
        <f>J24*$D$29</f>
        <v>0</v>
      </c>
      <c r="K25" s="8">
        <f t="shared" ref="K25:L25" si="8">K24*$D$29</f>
        <v>0</v>
      </c>
      <c r="L25" s="8">
        <f t="shared" si="8"/>
        <v>0</v>
      </c>
      <c r="M25" s="8">
        <f>M24*$D$30</f>
        <v>0</v>
      </c>
      <c r="N25" s="8">
        <f t="shared" ref="N25:O25" si="9">N24*$D$30</f>
        <v>0</v>
      </c>
      <c r="O25" s="8">
        <f t="shared" si="9"/>
        <v>0</v>
      </c>
      <c r="P25" s="8">
        <f>P24*$D$31</f>
        <v>0</v>
      </c>
      <c r="Q25" s="8">
        <f t="shared" ref="Q25:R25" si="10">Q24*$D$31</f>
        <v>0</v>
      </c>
      <c r="R25" s="8">
        <f t="shared" si="10"/>
        <v>0</v>
      </c>
      <c r="S25" s="8">
        <f>S24*$D$32</f>
        <v>0</v>
      </c>
      <c r="T25" s="8">
        <f t="shared" ref="T25:U25" si="11">T24*$D$32</f>
        <v>0</v>
      </c>
      <c r="U25" s="8">
        <f t="shared" si="11"/>
        <v>0</v>
      </c>
      <c r="V25" s="5">
        <f>SUM(G25:U25)</f>
        <v>0</v>
      </c>
      <c r="W25" s="76"/>
    </row>
    <row r="26" spans="1:24" ht="18.75" customHeight="1">
      <c r="A26" s="87" t="s">
        <v>4</v>
      </c>
      <c r="B26" s="90"/>
      <c r="C26" s="90"/>
      <c r="D26" s="90"/>
      <c r="E26" s="90"/>
      <c r="F26" s="89"/>
      <c r="G26" s="101">
        <f>(G24+H24+I24)*$D$28*10</f>
        <v>0</v>
      </c>
      <c r="H26" s="102"/>
      <c r="I26" s="103"/>
      <c r="J26" s="87">
        <f>(J24+K24+L24)*$D$29*10</f>
        <v>0</v>
      </c>
      <c r="K26" s="102"/>
      <c r="L26" s="103"/>
      <c r="M26" s="97">
        <f>(M24+N24+O24)*$D$30*10</f>
        <v>0</v>
      </c>
      <c r="N26" s="98"/>
      <c r="O26" s="99"/>
      <c r="P26" s="87">
        <f>(P24+Q24+R24)*$D$31*10</f>
        <v>0</v>
      </c>
      <c r="Q26" s="102"/>
      <c r="R26" s="103"/>
      <c r="S26" s="87">
        <f>(S24+T24+U24)*$D$32*10</f>
        <v>0</v>
      </c>
      <c r="T26" s="102"/>
      <c r="U26" s="103"/>
      <c r="V26" s="5">
        <f>SUM(G26+J26+P26+S26)</f>
        <v>0</v>
      </c>
      <c r="W26" s="77"/>
    </row>
    <row r="27" spans="1:24" ht="15.75" customHeight="1"/>
    <row r="28" spans="1:24" ht="15.75" customHeight="1">
      <c r="C28" s="65" t="s">
        <v>21</v>
      </c>
      <c r="D28" s="65">
        <v>0.5</v>
      </c>
    </row>
    <row r="29" spans="1:24" ht="15.75" customHeight="1">
      <c r="C29" s="65" t="s">
        <v>22</v>
      </c>
      <c r="D29" s="65">
        <v>0.5</v>
      </c>
    </row>
    <row r="30" spans="1:24" ht="15.75" customHeight="1">
      <c r="C30" s="65" t="s">
        <v>23</v>
      </c>
      <c r="D30" s="65">
        <v>1</v>
      </c>
    </row>
    <row r="31" spans="1:24" ht="15.75" customHeight="1">
      <c r="C31" s="65" t="s">
        <v>24</v>
      </c>
      <c r="D31" s="65">
        <v>1</v>
      </c>
    </row>
    <row r="32" spans="1:24" ht="15.75" customHeight="1">
      <c r="C32" s="65" t="s">
        <v>25</v>
      </c>
      <c r="D32" s="65">
        <v>1</v>
      </c>
    </row>
    <row r="33" spans="3:8" ht="15.75" customHeight="1"/>
    <row r="34" spans="3:8" ht="39" customHeight="1">
      <c r="C34" s="82" t="s">
        <v>6</v>
      </c>
      <c r="D34" s="82"/>
      <c r="E34" s="82"/>
      <c r="F34" s="61" t="s">
        <v>12</v>
      </c>
      <c r="G34" s="61" t="s">
        <v>13</v>
      </c>
      <c r="H34" s="61" t="s">
        <v>14</v>
      </c>
    </row>
    <row r="35" spans="3:8" ht="21.75" customHeight="1">
      <c r="C35" s="72" t="s">
        <v>17</v>
      </c>
      <c r="D35" s="83"/>
      <c r="E35" s="83"/>
      <c r="F35" s="61">
        <f t="shared" ref="F35:H36" si="12">G24+J24+M24+P24+S24</f>
        <v>0</v>
      </c>
      <c r="G35" s="61">
        <f t="shared" si="12"/>
        <v>0</v>
      </c>
      <c r="H35" s="61">
        <f t="shared" si="12"/>
        <v>0</v>
      </c>
    </row>
    <row r="36" spans="3:8" ht="21.75" customHeight="1">
      <c r="C36" s="84" t="s">
        <v>18</v>
      </c>
      <c r="D36" s="83"/>
      <c r="E36" s="83"/>
      <c r="F36" s="60">
        <f t="shared" si="12"/>
        <v>0</v>
      </c>
      <c r="G36" s="60">
        <f t="shared" si="12"/>
        <v>0</v>
      </c>
      <c r="H36" s="60">
        <f t="shared" si="12"/>
        <v>0</v>
      </c>
    </row>
    <row r="37" spans="3:8" ht="15.75" customHeight="1"/>
    <row r="38" spans="3:8" ht="15.75" customHeight="1"/>
    <row r="39" spans="3:8" ht="15.75" customHeight="1"/>
    <row r="40" spans="3:8" ht="15.75" customHeight="1"/>
    <row r="41" spans="3:8" ht="15.75" customHeight="1"/>
    <row r="42" spans="3:8" ht="15.75" customHeight="1"/>
    <row r="43" spans="3:8" ht="15.75" customHeight="1"/>
    <row r="44" spans="3:8" ht="15.75" customHeight="1"/>
    <row r="45" spans="3:8" ht="15.75" customHeight="1"/>
    <row r="46" spans="3:8" ht="15.75" customHeight="1"/>
    <row r="47" spans="3:8" ht="15.75" customHeight="1"/>
    <row r="48" spans="3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4">
    <mergeCell ref="C34:E34"/>
    <mergeCell ref="C35:E35"/>
    <mergeCell ref="C36:E36"/>
    <mergeCell ref="B7:B9"/>
    <mergeCell ref="B11:B12"/>
    <mergeCell ref="A24:C24"/>
    <mergeCell ref="W24:W26"/>
    <mergeCell ref="A25:F25"/>
    <mergeCell ref="A26:F26"/>
    <mergeCell ref="G26:I26"/>
    <mergeCell ref="J26:L26"/>
    <mergeCell ref="M26:O26"/>
    <mergeCell ref="P26:R26"/>
    <mergeCell ref="S26:U26"/>
    <mergeCell ref="X7:X15"/>
    <mergeCell ref="B16:B19"/>
    <mergeCell ref="X16:X23"/>
    <mergeCell ref="B20:B21"/>
    <mergeCell ref="V4:V6"/>
    <mergeCell ref="W4:W6"/>
    <mergeCell ref="G5:I5"/>
    <mergeCell ref="J5:L5"/>
    <mergeCell ref="M5:O5"/>
    <mergeCell ref="P5:R5"/>
    <mergeCell ref="C2:V2"/>
    <mergeCell ref="B3:E3"/>
    <mergeCell ref="A4:A6"/>
    <mergeCell ref="B4:B6"/>
    <mergeCell ref="C4:C6"/>
    <mergeCell ref="D4:D6"/>
    <mergeCell ref="E4:E6"/>
    <mergeCell ref="F4:F6"/>
    <mergeCell ref="G4:R4"/>
    <mergeCell ref="S4:U5"/>
  </mergeCells>
  <pageMargins left="0.32291666666666669" right="0.20833333333333334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Cuối HK 1 </vt:lpstr>
      <vt:lpstr>Cuối HK 1 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Ngoc Chien</dc:creator>
  <cp:lastModifiedBy>admin</cp:lastModifiedBy>
  <dcterms:created xsi:type="dcterms:W3CDTF">2025-05-08T03:12:44Z</dcterms:created>
  <dcterms:modified xsi:type="dcterms:W3CDTF">2025-12-22T01:52:22Z</dcterms:modified>
</cp:coreProperties>
</file>